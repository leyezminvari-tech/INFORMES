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icio" sheetId="1" state="visible" r:id="rId3"/>
    <sheet name="Tabla Semanal" sheetId="2" state="visible" r:id="rId4"/>
    <sheet name="Tabla Tecnica Base" sheetId="3" state="visible" r:id="rId5"/>
    <sheet name="Registro Diario" sheetId="4" state="visible" r:id="rId6"/>
    <sheet name="Compra de Concentrado" sheetId="5" state="visible" r:id="rId7"/>
    <sheet name="Instrucciones" sheetId="6" state="visible" r:id="rId8"/>
  </sheets>
  <definedNames>
    <definedName function="false" hidden="false" name="CantidadPollos" vbProcedure="false">Inicio!$D$5</definedName>
    <definedName function="false" hidden="false" name="FechaInicioLote" vbProcedure="false">Inicio!$D$7</definedName>
    <definedName function="false" hidden="false" name="PesoBulto" vbProcedure="false">Inicio!$D$6</definedName>
    <definedName function="false" hidden="false" name="SemanaConsulta" vbProcedure="false">Inicio!$D$8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<sst xmlns="http://schemas.openxmlformats.org/spreadsheetml/2006/main" count="126" uniqueCount="98">
  <si>
    <t xml:space="preserve">SISTEMA DE ALIMENTACIÓN AUTOMATIZADO — POLLOS DE ENGORDE</t>
  </si>
  <si>
    <t xml:space="preserve">Control de consumo de concentrado por lote, por semana y por etapa — basado en tabla técnica editable</t>
  </si>
  <si>
    <t xml:space="preserve">1. DATOS DE ENTRADA  (edite Únicamente las celdas amarillas)</t>
  </si>
  <si>
    <t xml:space="preserve">Cantidad de pollos del lote (aves):</t>
  </si>
  <si>
    <t xml:space="preserve">Ingrese cualquier cantidad: 50, 100, 200, 500, 800...</t>
  </si>
  <si>
    <t xml:space="preserve">Peso del bulto de concentrado (kg):</t>
  </si>
  <si>
    <t xml:space="preserve">Es el peso en KG de 1 bulto (no la cantidad de bultos). La lista sugiere 40 o 50; puede escribir otro peso</t>
  </si>
  <si>
    <t xml:space="preserve">Fecha de inicio del lote (día 1):</t>
  </si>
  <si>
    <t xml:space="preserve">Fecha de llegada de los pollitos de un día</t>
  </si>
  <si>
    <t xml:space="preserve">Semana a consultar (1 a 7):</t>
  </si>
  <si>
    <t xml:space="preserve">Elija la semana que quiere ver en el resumen de abajo</t>
  </si>
  <si>
    <t xml:space="preserve">2. CUÁNTO ALIMENTO DAR POR ETAPA  (Inicio, Crecimiento, Engorde)</t>
  </si>
  <si>
    <t xml:space="preserve">Etapa</t>
  </si>
  <si>
    <t xml:space="preserve">Días</t>
  </si>
  <si>
    <t xml:space="preserve">Alimento/ave
etapa (kg)</t>
  </si>
  <si>
    <t xml:space="preserve">Alimento total
lote/etapa (kg)</t>
  </si>
  <si>
    <t xml:space="preserve">Bultos a
comprar</t>
  </si>
  <si>
    <t xml:space="preserve">Inicio</t>
  </si>
  <si>
    <t xml:space="preserve">Días 1-21</t>
  </si>
  <si>
    <t xml:space="preserve">Crecimiento</t>
  </si>
  <si>
    <t xml:space="preserve">Días 22-35</t>
  </si>
  <si>
    <t xml:space="preserve">Engorde</t>
  </si>
  <si>
    <t xml:space="preserve">Días 36-49</t>
  </si>
  <si>
    <t xml:space="preserve">TOTAL CICLO</t>
  </si>
  <si>
    <t xml:space="preserve">3. RESULTADOS DE LA SEMANA SELECCIONADA</t>
  </si>
  <si>
    <t xml:space="preserve">Etapa:</t>
  </si>
  <si>
    <t xml:space="preserve">Rango de edad (días):</t>
  </si>
  <si>
    <t xml:space="preserve">Consumo por ave / día (g):</t>
  </si>
  <si>
    <t xml:space="preserve">Consumo por ave / día (kg):</t>
  </si>
  <si>
    <t xml:space="preserve">Alimento total del lote / día (kg):</t>
  </si>
  <si>
    <t xml:space="preserve">Alimento total del lote / semana (kg):</t>
  </si>
  <si>
    <t xml:space="preserve">Bultos necesarios esa semana (exacto):</t>
  </si>
  <si>
    <t xml:space="preserve">Bultos a comprar esa semana (redondeado):</t>
  </si>
  <si>
    <t xml:space="preserve">Consumo acumulado del lote hasta esa semana (kg):</t>
  </si>
  <si>
    <t xml:space="preserve">Bultos acumulados hasta esa semana (redondeado):</t>
  </si>
  <si>
    <t xml:space="preserve">4. RESUMEN DEL CICLO COMPLETO (SEMANA 1 A 7)</t>
  </si>
  <si>
    <t xml:space="preserve">Consumo total por ave en todo el ciclo (kg):</t>
  </si>
  <si>
    <t xml:space="preserve">Consumo total del lote en todo el ciclo (kg):</t>
  </si>
  <si>
    <t xml:space="preserve">Total de bultos del ciclo — comprando todo al inicio:</t>
  </si>
  <si>
    <t xml:space="preserve">Total de bultos del ciclo — comprando semana a semana:</t>
  </si>
  <si>
    <t xml:space="preserve">Consulte la hoja "Tabla Semanal" para ver el detalle de las 7 semanas y "Compra de Concentrado" para planificar la compra por etapa (incluye costos).</t>
  </si>
  <si>
    <t xml:space="preserve">TABLA SEMANAL DE CONSUMO — SEMANA 1 A 7</t>
  </si>
  <si>
    <t xml:space="preserve">Se recalcula automáticamente al cambiar la cantidad de pollos o el peso del bulto en la hoja Inicio</t>
  </si>
  <si>
    <t xml:space="preserve">Semana</t>
  </si>
  <si>
    <t xml:space="preserve">Día
inicio</t>
  </si>
  <si>
    <t xml:space="preserve">Día
fin</t>
  </si>
  <si>
    <t xml:space="preserve">Consumo
(g/ave/día)</t>
  </si>
  <si>
    <t xml:space="preserve">Consumo
(kg/ave/día)</t>
  </si>
  <si>
    <t xml:space="preserve">Alimento
lote/día (kg)</t>
  </si>
  <si>
    <t xml:space="preserve">Alimento
lote/semana (kg)</t>
  </si>
  <si>
    <t xml:space="preserve">Bultos/semana
(exacto)</t>
  </si>
  <si>
    <t xml:space="preserve">Bultos a
comprar/semana</t>
  </si>
  <si>
    <t xml:space="preserve">Consumo
acumulado lote (kg)</t>
  </si>
  <si>
    <t xml:space="preserve">Bultos
acumulados (exacto)</t>
  </si>
  <si>
    <t xml:space="preserve">Bultos acum.
(redondeado)</t>
  </si>
  <si>
    <t xml:space="preserve">TOTAL</t>
  </si>
  <si>
    <t xml:space="preserve">TABLA TÉCNICA BASE DE CONSUMO</t>
  </si>
  <si>
    <t xml:space="preserve">Fuente de los datos de consumo — EDITE la columna E si su proveedor le entrega otra tabla; todo el archivo se recalcula solo</t>
  </si>
  <si>
    <t xml:space="preserve">Día inicio</t>
  </si>
  <si>
    <t xml:space="preserve">Día fin</t>
  </si>
  <si>
    <t xml:space="preserve">Fuente / Notas</t>
  </si>
  <si>
    <t xml:space="preserve">Objetivos de desempeño típicos de líneas comerciales de engorde de alto rendimiento (Ross 308 / Cobb 500 — Aviagen / Cobb-Vantress), promediados a condiciones de campo.</t>
  </si>
  <si>
    <t xml:space="preserve">IMPORTANTE: la columna "Consumo (g/ave/día)" es la única base numérica de todo el archivo. Todas las demás hojas (Tabla Semanal, Inicio, Registro Diario, Compra de Concentrado) calculan a partir de estos valores mediante fórmulas. Si su proveedor de concentrado (por ejemplo Italcol) le entrega una ficha técnica propia de consumo semanal para la línea genética que está manejando, reemplace aquí los valores de gramos/ave/día y el archivo se actualizará automáticamente.</t>
  </si>
  <si>
    <t xml:space="preserve">REGISTRO DIARIO DE ALIMENTACIÓN — REAL VS. CALCULADO</t>
  </si>
  <si>
    <t xml:space="preserve">Registre cada día cuánto alimento suministró y cuánto sobró; el consumo teórico y la diferencia se calculan solos</t>
  </si>
  <si>
    <t xml:space="preserve">Fecha</t>
  </si>
  <si>
    <t xml:space="preserve">Edad
(días)</t>
  </si>
  <si>
    <t xml:space="preserve">Alimento
suministrado (kg)</t>
  </si>
  <si>
    <t xml:space="preserve">Alimento sobrante
/ rechazado (kg)</t>
  </si>
  <si>
    <t xml:space="preserve">Consumo
real (kg)</t>
  </si>
  <si>
    <t xml:space="preserve">Consumo teórico
esperado (kg)</t>
  </si>
  <si>
    <t xml:space="preserve">Diferencia
(kg)</t>
  </si>
  <si>
    <t xml:space="preserve">Diferencia
(%)</t>
  </si>
  <si>
    <t xml:space="preserve">← Fila de ejemplo. Puede sobrescribirla o borrar los valores de E y F.</t>
  </si>
  <si>
    <t xml:space="preserve">COMPRA DE CONCENTRADO POR ETAPA</t>
  </si>
  <si>
    <t xml:space="preserve">Cuánto concentrado comprar en cada etapa del ciclo, según la cantidad de pollos y el peso de bulto definidos en Inicio</t>
  </si>
  <si>
    <t xml:space="preserve">Semanas
incluidas</t>
  </si>
  <si>
    <t xml:space="preserve">Consumo total
etapa / ave (kg)</t>
  </si>
  <si>
    <t xml:space="preserve">Consumo total
etapa / lote (kg)</t>
  </si>
  <si>
    <t xml:space="preserve">Bultos
necesarios (exacto)</t>
  </si>
  <si>
    <t xml:space="preserve">Bultos a
comprar (redondeado)</t>
  </si>
  <si>
    <t xml:space="preserve">Precio por
bulto ($)</t>
  </si>
  <si>
    <t xml:space="preserve">Costo total
etapa ($)</t>
  </si>
  <si>
    <t xml:space="preserve">Semanas 1-3</t>
  </si>
  <si>
    <t xml:space="preserve">Semanas 4-5</t>
  </si>
  <si>
    <t xml:space="preserve">Semanas 6-7</t>
  </si>
  <si>
    <t xml:space="preserve">El precio por bulto (columna H) es opcional: si lo diligencia, el costo estimado se calcula solo. Si lo deja en 0, el costo total será 0.</t>
  </si>
  <si>
    <t xml:space="preserve">INSTRUCCIONES DE USO</t>
  </si>
  <si>
    <t xml:space="preserve">1. Cómo empezar</t>
  </si>
  <si>
    <t xml:space="preserve">1) Vaya a la hoja "Inicio" y escriba la cantidad de pollos del lote (celda amarilla). 2) Verifique o cambie el peso del bulto (40, 50 u otro). 3) Escriba la fecha de inicio del lote. Justo debajo aparece cuánto alimento debe dar en cada etapa (Inicio, Crecimiento, Engorde). 4) Si además quiere el detalle semana a semana, elija la semana a consultar. Todo se actualiza solo.</t>
  </si>
  <si>
    <t xml:space="preserve">2. Hojas del archivo</t>
  </si>
  <si>
    <t xml:space="preserve">• Inicio: panel principal con los datos de entrada, cuánto alimento dar en cada etapa y el resumen de resultados.
• Tabla Semanal: detalle completo de consumo, semana 1 a 7, con etapa, bultos y acumulados.
• Tabla Tecnica Base: consumo de referencia en g/ave/día por semana (única hoja donde se edita el dato técnico base).
• Registro Diario: para anotar el alimento suministrado y el sobrante cada día, y comparar contra lo calculado.
• Compra de Concentrado: cuántos bultos comprar por cada etapa (Inicio, Crecimiento, Engorde), con costo estimado.</t>
  </si>
  <si>
    <t xml:space="preserve">3. Código de colores</t>
  </si>
  <si>
    <t xml:space="preserve">• Celda amarilla con borde y letra azul: celda de ENTRADA. Aquí se escriben datos.
• Celda blanca con letra negra: FÓRMULA. No se debe escribir sobre ella; se calcula sola.
• Colores pastel (durazno, azul, rosado): identifican visualmente cada etapa (Inicio, Crecimiento, Engorde).</t>
  </si>
  <si>
    <t xml:space="preserve">4. Nota técnica sobre la tabla de consumo</t>
  </si>
  <si>
    <t xml:space="preserve">Los valores de gramos de alimento por ave/día (hoja "Tabla Tecnica Base") están basados en los objetivos de desempeño típicos publicados para las líneas comerciales de engorde de mayor uso a nivel mundial (Ross 308 de Aviagen y Cobb 500 de Cobb-Vantress), promediados y ajustados a condiciones comerciales de campo, ya que no se especificó una línea genética particular. Italcol, como la mayoría de las marcas de concentrado en Colombia, formula y recomienda sus programas de alimentación por etapas (inicio, crecimiento, engorde/finalizador) sobre esta misma base técnica de las casas genéticas, por lo que esta tabla es una referencia válida para trabajar con concentrado Italcol. Si cuenta con la ficha técnica específica de Italcol para su programa (o con el dato exacto de la línea genética que está manejando), reemplácela en la columna E de la hoja "Tabla Tecnica Base": todo el archivo (Tabla Semanal, Inicio, Registro Diario y Compra de Concentrado) se recalculará automáticamente con los nuevos valores.</t>
  </si>
  <si>
    <t xml:space="preserve">5. Supuestos del modelo</t>
  </si>
  <si>
    <t xml:space="preserve">• La cantidad de pollos ingresada se asume constante durante todo el ciclo (el modelo no descuenta mortalidad). Si desea reflejar mortalidad, ajuste manualmente la cantidad de pollos en la hoja Inicio.
• El ciclo cubierto es de 7 semanas (49 días), rango típico para pollo de engorde comercial.
• "Bultos a comprar" siempre redondea hacia arriba, porque no se pueden comprar fracciones de bulto.</t>
  </si>
</sst>
</file>

<file path=xl/styles.xml><?xml version="1.0" encoding="utf-8"?>
<styleSheet xmlns="http://schemas.openxmlformats.org/spreadsheetml/2006/main">
  <numFmts count="6">
    <numFmt numFmtId="164" formatCode="General"/>
    <numFmt numFmtId="165" formatCode="#,##0"/>
    <numFmt numFmtId="166" formatCode="dd/mm/yyyy"/>
    <numFmt numFmtId="167" formatCode="#,##0.00"/>
    <numFmt numFmtId="168" formatCode="0.0%"/>
    <numFmt numFmtId="169" formatCode="\$#,##0"/>
  </numFmts>
  <fonts count="16">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595959"/>
      <name val="Arial"/>
      <family val="0"/>
      <charset val="1"/>
    </font>
    <font>
      <b val="true"/>
      <sz val="11"/>
      <color rgb="FFFFFFFF"/>
      <name val="Arial"/>
      <family val="0"/>
      <charset val="1"/>
    </font>
    <font>
      <sz val="10"/>
      <name val="Arial"/>
      <family val="0"/>
      <charset val="1"/>
    </font>
    <font>
      <b val="true"/>
      <sz val="10"/>
      <color rgb="FF0000FF"/>
      <name val="Arial"/>
      <family val="0"/>
      <charset val="1"/>
    </font>
    <font>
      <b val="true"/>
      <sz val="10"/>
      <color rgb="FFFFFFFF"/>
      <name val="Arial"/>
      <family val="0"/>
      <charset val="1"/>
    </font>
    <font>
      <b val="true"/>
      <sz val="10"/>
      <name val="Arial"/>
      <family val="0"/>
      <charset val="1"/>
    </font>
    <font>
      <b val="true"/>
      <sz val="14"/>
      <color rgb="FFFFFFFF"/>
      <name val="Arial"/>
      <family val="0"/>
      <charset val="1"/>
    </font>
    <font>
      <i val="true"/>
      <sz val="8"/>
      <color rgb="FF595959"/>
      <name val="Arial"/>
      <family val="0"/>
      <charset val="1"/>
    </font>
    <font>
      <i val="true"/>
      <sz val="10"/>
      <color rgb="FF595959"/>
      <name val="Arial"/>
      <family val="0"/>
      <charset val="1"/>
    </font>
    <font>
      <sz val="10"/>
      <color rgb="FF0000FF"/>
      <name val="Arial"/>
      <family val="0"/>
      <charset val="1"/>
    </font>
    <font>
      <b val="true"/>
      <sz val="12"/>
      <color rgb="FF1F5C2E"/>
      <name val="Arial"/>
      <family val="0"/>
      <charset val="1"/>
    </font>
  </fonts>
  <fills count="13">
    <fill>
      <patternFill patternType="none"/>
    </fill>
    <fill>
      <patternFill patternType="gray125"/>
    </fill>
    <fill>
      <patternFill patternType="solid">
        <fgColor rgb="FF1F5C2E"/>
        <bgColor rgb="FF375623"/>
      </patternFill>
    </fill>
    <fill>
      <patternFill patternType="solid">
        <fgColor rgb="FF4F8A5B"/>
        <bgColor rgb="FF808080"/>
      </patternFill>
    </fill>
    <fill>
      <patternFill patternType="solid">
        <fgColor rgb="FFFFF2CC"/>
        <bgColor rgb="FFFCF3CF"/>
      </patternFill>
    </fill>
    <fill>
      <patternFill patternType="solid">
        <fgColor rgb="FF375623"/>
        <bgColor rgb="FF1F5C2E"/>
      </patternFill>
    </fill>
    <fill>
      <patternFill patternType="solid">
        <fgColor rgb="FFFDEBD0"/>
        <bgColor rgb="FFFFF2CC"/>
      </patternFill>
    </fill>
    <fill>
      <patternFill patternType="solid">
        <fgColor rgb="FFD6EAF8"/>
        <bgColor rgb="FFD5F5E3"/>
      </patternFill>
    </fill>
    <fill>
      <patternFill patternType="solid">
        <fgColor rgb="FFFADBD8"/>
        <bgColor rgb="FFFDEBD0"/>
      </patternFill>
    </fill>
    <fill>
      <patternFill patternType="solid">
        <fgColor rgb="FFD9E1D3"/>
        <bgColor rgb="FFD6EAF8"/>
      </patternFill>
    </fill>
    <fill>
      <patternFill patternType="solid">
        <fgColor rgb="FFFFFFFF"/>
        <bgColor rgb="FFF2F2F2"/>
      </patternFill>
    </fill>
    <fill>
      <patternFill patternType="solid">
        <fgColor rgb="FFEAF2E3"/>
        <bgColor rgb="FFF2F2F2"/>
      </patternFill>
    </fill>
    <fill>
      <patternFill patternType="solid">
        <fgColor rgb="FFF2F2F2"/>
        <bgColor rgb="FFEAF2E3"/>
      </patternFill>
    </fill>
  </fills>
  <borders count="3">
    <border diagonalUp="false" diagonalDown="false">
      <left/>
      <right/>
      <top/>
      <bottom/>
      <diagonal/>
    </border>
    <border diagonalUp="false" diagonalDown="false">
      <left style="medium">
        <color rgb="FFB8860B"/>
      </left>
      <right style="medium">
        <color rgb="FFB8860B"/>
      </right>
      <top style="medium">
        <color rgb="FFB8860B"/>
      </top>
      <bottom style="medium">
        <color rgb="FFB8860B"/>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4" fontId="10" fillId="6" borderId="2" xfId="0" applyFont="true" applyBorder="true" applyAlignment="true" applyProtection="false">
      <alignment horizontal="left" vertical="center" textRotation="0" wrapText="false" indent="1" shrinkToFit="false"/>
      <protection locked="true" hidden="false"/>
    </xf>
    <xf numFmtId="164" fontId="7" fillId="6" borderId="2" xfId="0" applyFont="true" applyBorder="true" applyAlignment="true" applyProtection="false">
      <alignment horizontal="center" vertical="bottom" textRotation="0" wrapText="false" indent="0" shrinkToFit="false"/>
      <protection locked="true" hidden="false"/>
    </xf>
    <xf numFmtId="167" fontId="7" fillId="6" borderId="2" xfId="0" applyFont="true" applyBorder="true" applyAlignment="true" applyProtection="false">
      <alignment horizontal="center" vertical="center" textRotation="0" wrapText="false" indent="0" shrinkToFit="false"/>
      <protection locked="true" hidden="false"/>
    </xf>
    <xf numFmtId="167" fontId="10" fillId="6" borderId="2" xfId="0" applyFont="true" applyBorder="true" applyAlignment="true" applyProtection="false">
      <alignment horizontal="center" vertical="center" textRotation="0" wrapText="false" indent="0" shrinkToFit="false"/>
      <protection locked="true" hidden="false"/>
    </xf>
    <xf numFmtId="165" fontId="10" fillId="6" borderId="2" xfId="0" applyFont="true" applyBorder="true" applyAlignment="true" applyProtection="false">
      <alignment horizontal="center" vertical="center" textRotation="0" wrapText="false" indent="0" shrinkToFit="false"/>
      <protection locked="true" hidden="false"/>
    </xf>
    <xf numFmtId="164" fontId="10" fillId="7" borderId="2" xfId="0" applyFont="true" applyBorder="true" applyAlignment="true" applyProtection="false">
      <alignment horizontal="left" vertical="center" textRotation="0" wrapText="false" indent="1" shrinkToFit="false"/>
      <protection locked="true" hidden="false"/>
    </xf>
    <xf numFmtId="164" fontId="7" fillId="7" borderId="2" xfId="0" applyFont="true" applyBorder="true" applyAlignment="true" applyProtection="false">
      <alignment horizontal="center" vertical="bottom" textRotation="0" wrapText="false" indent="0" shrinkToFit="false"/>
      <protection locked="true" hidden="false"/>
    </xf>
    <xf numFmtId="167" fontId="7" fillId="7" borderId="2" xfId="0" applyFont="true" applyBorder="true" applyAlignment="true" applyProtection="false">
      <alignment horizontal="center" vertical="center" textRotation="0" wrapText="false" indent="0" shrinkToFit="false"/>
      <protection locked="true" hidden="false"/>
    </xf>
    <xf numFmtId="167" fontId="10" fillId="7" borderId="2" xfId="0" applyFont="true" applyBorder="true" applyAlignment="true" applyProtection="false">
      <alignment horizontal="center" vertical="center" textRotation="0" wrapText="false" indent="0" shrinkToFit="false"/>
      <protection locked="true" hidden="false"/>
    </xf>
    <xf numFmtId="165" fontId="10" fillId="7" borderId="2" xfId="0" applyFont="true" applyBorder="true" applyAlignment="true" applyProtection="false">
      <alignment horizontal="center" vertical="center" textRotation="0" wrapText="false" indent="0" shrinkToFit="false"/>
      <protection locked="true" hidden="false"/>
    </xf>
    <xf numFmtId="164" fontId="10" fillId="8" borderId="2" xfId="0" applyFont="true" applyBorder="true" applyAlignment="true" applyProtection="false">
      <alignment horizontal="left" vertical="center" textRotation="0" wrapText="false" indent="1" shrinkToFit="false"/>
      <protection locked="true" hidden="false"/>
    </xf>
    <xf numFmtId="164" fontId="7" fillId="8" borderId="2" xfId="0" applyFont="true" applyBorder="true" applyAlignment="true" applyProtection="false">
      <alignment horizontal="center" vertical="bottom" textRotation="0" wrapText="false" indent="0" shrinkToFit="false"/>
      <protection locked="true" hidden="false"/>
    </xf>
    <xf numFmtId="167" fontId="7" fillId="8" borderId="2" xfId="0" applyFont="true" applyBorder="true" applyAlignment="true" applyProtection="false">
      <alignment horizontal="center" vertical="center" textRotation="0" wrapText="false" indent="0" shrinkToFit="false"/>
      <protection locked="true" hidden="false"/>
    </xf>
    <xf numFmtId="167" fontId="10" fillId="8" borderId="2" xfId="0" applyFont="true" applyBorder="true" applyAlignment="true" applyProtection="false">
      <alignment horizontal="center" vertical="center" textRotation="0" wrapText="false" indent="0" shrinkToFit="false"/>
      <protection locked="true" hidden="false"/>
    </xf>
    <xf numFmtId="165" fontId="10" fillId="8" borderId="2" xfId="0" applyFont="true" applyBorder="true" applyAlignment="true" applyProtection="false">
      <alignment horizontal="center" vertical="center" textRotation="0" wrapText="false" indent="0" shrinkToFit="false"/>
      <protection locked="true" hidden="false"/>
    </xf>
    <xf numFmtId="164" fontId="10" fillId="9" borderId="2" xfId="0" applyFont="true" applyBorder="true" applyAlignment="true" applyProtection="false">
      <alignment horizontal="left" vertical="center" textRotation="0" wrapText="false" indent="1" shrinkToFit="false"/>
      <protection locked="true" hidden="false"/>
    </xf>
    <xf numFmtId="164" fontId="0" fillId="9" borderId="2" xfId="0" applyFont="false" applyBorder="true" applyAlignment="false" applyProtection="false">
      <alignment horizontal="general" vertical="bottom" textRotation="0" wrapText="false" indent="0" shrinkToFit="false"/>
      <protection locked="true" hidden="false"/>
    </xf>
    <xf numFmtId="167" fontId="10" fillId="9" borderId="2" xfId="0" applyFont="true" applyBorder="true" applyAlignment="true" applyProtection="false">
      <alignment horizontal="center" vertical="center" textRotation="0" wrapText="false" indent="0" shrinkToFit="false"/>
      <protection locked="true" hidden="false"/>
    </xf>
    <xf numFmtId="165" fontId="10" fillId="9" borderId="2" xfId="0" applyFont="true" applyBorder="true" applyAlignment="true" applyProtection="false">
      <alignment horizontal="center" vertical="center" textRotation="0" wrapText="false" indent="0" shrinkToFit="false"/>
      <protection locked="true" hidden="false"/>
    </xf>
    <xf numFmtId="164" fontId="7" fillId="10" borderId="2" xfId="0" applyFont="true" applyBorder="true" applyAlignment="true" applyProtection="false">
      <alignment horizontal="center" vertical="center" textRotation="0" wrapText="false" indent="0" shrinkToFit="false"/>
      <protection locked="true" hidden="false"/>
    </xf>
    <xf numFmtId="165" fontId="7" fillId="10" borderId="2" xfId="0" applyFont="true" applyBorder="true" applyAlignment="true" applyProtection="false">
      <alignment horizontal="center" vertical="center" textRotation="0" wrapText="false" indent="0" shrinkToFit="false"/>
      <protection locked="true" hidden="false"/>
    </xf>
    <xf numFmtId="167" fontId="7" fillId="10" borderId="2" xfId="0" applyFont="true" applyBorder="true" applyAlignment="true" applyProtection="false">
      <alignment horizontal="center" vertical="center" textRotation="0" wrapText="false" indent="0" shrinkToFit="false"/>
      <protection locked="true" hidden="false"/>
    </xf>
    <xf numFmtId="167" fontId="10" fillId="11" borderId="2" xfId="0" applyFont="true" applyBorder="true" applyAlignment="true" applyProtection="false">
      <alignment horizontal="center" vertical="center" textRotation="0" wrapText="false" indent="0" shrinkToFit="false"/>
      <protection locked="true" hidden="false"/>
    </xf>
    <xf numFmtId="165" fontId="10" fillId="11"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11" fillId="2" borderId="0" xfId="0" applyFont="true" applyBorder="true" applyAlignment="true" applyProtection="false">
      <alignment horizontal="left" vertical="center" textRotation="0" wrapText="false" indent="1" shrinkToFit="false"/>
      <protection locked="true" hidden="false"/>
    </xf>
    <xf numFmtId="164" fontId="10" fillId="6" borderId="2" xfId="0" applyFont="true" applyBorder="true" applyAlignment="true" applyProtection="false">
      <alignment horizontal="center" vertical="bottom" textRotation="0" wrapText="false" indent="0" shrinkToFit="false"/>
      <protection locked="true" hidden="false"/>
    </xf>
    <xf numFmtId="164" fontId="10" fillId="6" borderId="2" xfId="0" applyFont="true" applyBorder="true" applyAlignment="true" applyProtection="false">
      <alignment horizontal="center" vertical="center" textRotation="0" wrapText="false" indent="0" shrinkToFit="false"/>
      <protection locked="true" hidden="false"/>
    </xf>
    <xf numFmtId="165" fontId="7" fillId="6" borderId="2" xfId="0" applyFont="true" applyBorder="true" applyAlignment="true" applyProtection="false">
      <alignment horizontal="center" vertical="center" textRotation="0" wrapText="false" indent="0" shrinkToFit="false"/>
      <protection locked="true" hidden="false"/>
    </xf>
    <xf numFmtId="167" fontId="7" fillId="0" borderId="2" xfId="0" applyFont="true" applyBorder="true" applyAlignment="true" applyProtection="false">
      <alignment horizontal="center" vertical="center" textRotation="0" wrapText="false" indent="0" shrinkToFit="false"/>
      <protection locked="true" hidden="false"/>
    </xf>
    <xf numFmtId="167" fontId="10" fillId="0" borderId="2" xfId="0" applyFont="true" applyBorder="true" applyAlignment="true" applyProtection="false">
      <alignment horizontal="center" vertical="center" textRotation="0" wrapText="false" indent="0" shrinkToFit="false"/>
      <protection locked="true" hidden="false"/>
    </xf>
    <xf numFmtId="165" fontId="10" fillId="0" borderId="2" xfId="0" applyFont="true" applyBorder="true" applyAlignment="true" applyProtection="false">
      <alignment horizontal="center" vertical="center" textRotation="0" wrapText="false" indent="0" shrinkToFit="false"/>
      <protection locked="true" hidden="false"/>
    </xf>
    <xf numFmtId="165" fontId="7" fillId="0" borderId="2" xfId="0" applyFont="true" applyBorder="true" applyAlignment="true" applyProtection="false">
      <alignment horizontal="center" vertical="center" textRotation="0" wrapText="false" indent="0" shrinkToFit="false"/>
      <protection locked="true" hidden="false"/>
    </xf>
    <xf numFmtId="164" fontId="10" fillId="7" borderId="2" xfId="0" applyFont="true" applyBorder="true" applyAlignment="true" applyProtection="false">
      <alignment horizontal="center" vertical="bottom" textRotation="0" wrapText="false" indent="0" shrinkToFit="false"/>
      <protection locked="true" hidden="false"/>
    </xf>
    <xf numFmtId="164" fontId="10" fillId="7" borderId="2" xfId="0" applyFont="true" applyBorder="true" applyAlignment="true" applyProtection="false">
      <alignment horizontal="center" vertical="center" textRotation="0" wrapText="false" indent="0" shrinkToFit="false"/>
      <protection locked="true" hidden="false"/>
    </xf>
    <xf numFmtId="165" fontId="7" fillId="7" borderId="2" xfId="0" applyFont="true" applyBorder="true" applyAlignment="true" applyProtection="false">
      <alignment horizontal="center" vertical="center" textRotation="0" wrapText="false" indent="0" shrinkToFit="false"/>
      <protection locked="true" hidden="false"/>
    </xf>
    <xf numFmtId="164" fontId="10" fillId="8" borderId="2" xfId="0" applyFont="true" applyBorder="true" applyAlignment="true" applyProtection="false">
      <alignment horizontal="center" vertical="bottom" textRotation="0" wrapText="false" indent="0" shrinkToFit="false"/>
      <protection locked="true" hidden="false"/>
    </xf>
    <xf numFmtId="164" fontId="10" fillId="8" borderId="2" xfId="0" applyFont="true" applyBorder="true" applyAlignment="true" applyProtection="false">
      <alignment horizontal="center" vertical="center" textRotation="0" wrapText="false" indent="0" shrinkToFit="false"/>
      <protection locked="true" hidden="false"/>
    </xf>
    <xf numFmtId="165" fontId="7" fillId="8" borderId="2" xfId="0" applyFont="true" applyBorder="true" applyAlignment="true" applyProtection="false">
      <alignment horizontal="center" vertical="center" textRotation="0" wrapText="false" indent="0" shrinkToFit="false"/>
      <protection locked="true" hidden="false"/>
    </xf>
    <xf numFmtId="164" fontId="10" fillId="9" borderId="2" xfId="0" applyFont="true" applyBorder="true" applyAlignment="true" applyProtection="false">
      <alignment horizontal="center" vertical="bottom" textRotation="0" wrapText="false" indent="0" shrinkToFit="false"/>
      <protection locked="true" hidden="false"/>
    </xf>
    <xf numFmtId="167" fontId="7" fillId="9" borderId="2"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6" fontId="13" fillId="12" borderId="2"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7" fontId="13" fillId="12" borderId="2" xfId="0" applyFont="true" applyBorder="true" applyAlignment="true" applyProtection="false">
      <alignment horizontal="center" vertical="bottom" textRotation="0" wrapText="false" indent="0" shrinkToFit="false"/>
      <protection locked="true" hidden="false"/>
    </xf>
    <xf numFmtId="168" fontId="7" fillId="0" borderId="2" xfId="0" applyFont="true" applyBorder="true" applyAlignment="true" applyProtection="false">
      <alignment horizontal="center" vertical="center" textRotation="0" wrapText="false" indent="0" shrinkToFit="false"/>
      <protection locked="true" hidden="false"/>
    </xf>
    <xf numFmtId="166" fontId="14" fillId="4" borderId="2" xfId="0" applyFont="true" applyBorder="true" applyAlignment="true" applyProtection="false">
      <alignment horizontal="center" vertical="bottom" textRotation="0" wrapText="false" indent="0" shrinkToFit="false"/>
      <protection locked="true" hidden="false"/>
    </xf>
    <xf numFmtId="167" fontId="14" fillId="4" borderId="2" xfId="0" applyFont="true" applyBorder="true" applyAlignment="true" applyProtection="false">
      <alignment horizontal="center" vertical="bottom" textRotation="0" wrapText="false" indent="0" shrinkToFit="false"/>
      <protection locked="true" hidden="false"/>
    </xf>
    <xf numFmtId="169" fontId="8" fillId="4" borderId="1" xfId="0" applyFont="true" applyBorder="true" applyAlignment="true" applyProtection="false">
      <alignment horizontal="center" vertical="center" textRotation="0" wrapText="false" indent="0" shrinkToFit="false"/>
      <protection locked="true" hidden="false"/>
    </xf>
    <xf numFmtId="169" fontId="10" fillId="0" borderId="2" xfId="0" applyFont="true" applyBorder="true" applyAlignment="true" applyProtection="false">
      <alignment horizontal="center" vertical="center" textRotation="0" wrapText="false" indent="0" shrinkToFit="false"/>
      <protection locked="true" hidden="false"/>
    </xf>
    <xf numFmtId="169" fontId="7" fillId="9" borderId="2" xfId="0" applyFont="true" applyBorder="true" applyAlignment="true" applyProtection="false">
      <alignment horizontal="center" vertical="center" textRotation="0" wrapText="false" indent="0" shrinkToFit="false"/>
      <protection locked="true" hidden="false"/>
    </xf>
    <xf numFmtId="169" fontId="10" fillId="9" borderId="2"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ADBD8"/>
        </patternFill>
      </fill>
    </dxf>
    <dxf>
      <fill>
        <patternFill>
          <bgColor rgb="FFFCF3CF"/>
        </patternFill>
      </fill>
    </dxf>
    <dxf>
      <fill>
        <patternFill>
          <bgColor rgb="FFD5F5E3"/>
        </patternFill>
      </fill>
    </dxf>
  </dxfs>
  <colors>
    <indexedColors>
      <rgbColor rgb="FF000000"/>
      <rgbColor rgb="FFFFFFFF"/>
      <rgbColor rgb="FFC00000"/>
      <rgbColor rgb="FF00FF00"/>
      <rgbColor rgb="FF0000FF"/>
      <rgbColor rgb="FFFFFF00"/>
      <rgbColor rgb="FFFF00FF"/>
      <rgbColor rgb="FF00FFFF"/>
      <rgbColor rgb="FF800000"/>
      <rgbColor rgb="FF1F5C2E"/>
      <rgbColor rgb="FF000080"/>
      <rgbColor rgb="FFB8860B"/>
      <rgbColor rgb="FF800080"/>
      <rgbColor rgb="FF008080"/>
      <rgbColor rgb="FFBFBFBF"/>
      <rgbColor rgb="FF808080"/>
      <rgbColor rgb="FF9999FF"/>
      <rgbColor rgb="FF7030A0"/>
      <rgbColor rgb="FFFCF3CF"/>
      <rgbColor rgb="FFD6EAF8"/>
      <rgbColor rgb="FF660066"/>
      <rgbColor rgb="FFFF8080"/>
      <rgbColor rgb="FF0066CC"/>
      <rgbColor rgb="FFD9E1D3"/>
      <rgbColor rgb="FF000080"/>
      <rgbColor rgb="FFFF00FF"/>
      <rgbColor rgb="FFFFFF00"/>
      <rgbColor rgb="FF00FFFF"/>
      <rgbColor rgb="FF800080"/>
      <rgbColor rgb="FF800000"/>
      <rgbColor rgb="FF008080"/>
      <rgbColor rgb="FF0000FF"/>
      <rgbColor rgb="FF00CCFF"/>
      <rgbColor rgb="FFEAF2E3"/>
      <rgbColor rgb="FFD5F5E3"/>
      <rgbColor rgb="FFFFF2CC"/>
      <rgbColor rgb="FFF2F2F2"/>
      <rgbColor rgb="FFFDEBD0"/>
      <rgbColor rgb="FFCC99FF"/>
      <rgbColor rgb="FFFADBD8"/>
      <rgbColor rgb="FF2E75B6"/>
      <rgbColor rgb="FF33CCCC"/>
      <rgbColor rgb="FF99CC00"/>
      <rgbColor rgb="FFFFCC00"/>
      <rgbColor rgb="FFBF8F00"/>
      <rgbColor rgb="FFFF6600"/>
      <rgbColor rgb="FF595959"/>
      <rgbColor rgb="FF969696"/>
      <rgbColor rgb="FF003366"/>
      <rgbColor rgb="FF4F8A5B"/>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5C2E"/>
    <pageSetUpPr fitToPage="false"/>
  </sheetPr>
  <dimension ref="A1:F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3"/>
    <col collapsed="false" customWidth="true" hidden="false" outlineLevel="0" max="4" min="4" style="0" width="16"/>
    <col collapsed="false" customWidth="true" hidden="false" outlineLevel="0" max="5" min="5" style="0" width="15"/>
    <col collapsed="false" customWidth="true" hidden="false" outlineLevel="0" max="6" min="6" style="0" width="36"/>
  </cols>
  <sheetData>
    <row r="1" customFormat="false" ht="25.5"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9.5" hidden="false" customHeight="true" outlineLevel="0" collapsed="false">
      <c r="A4" s="3" t="s">
        <v>2</v>
      </c>
      <c r="B4" s="3"/>
      <c r="C4" s="3"/>
      <c r="D4" s="3"/>
      <c r="E4" s="3"/>
      <c r="F4" s="3"/>
    </row>
    <row r="5" customFormat="false" ht="15" hidden="false" customHeight="false" outlineLevel="0" collapsed="false">
      <c r="B5" s="4" t="s">
        <v>3</v>
      </c>
      <c r="D5" s="5" t="n">
        <v>100</v>
      </c>
      <c r="F5" s="6" t="s">
        <v>4</v>
      </c>
    </row>
    <row r="6" customFormat="false" ht="22.35" hidden="false" customHeight="false" outlineLevel="0" collapsed="false">
      <c r="B6" s="4" t="s">
        <v>5</v>
      </c>
      <c r="D6" s="5" t="n">
        <v>40</v>
      </c>
      <c r="F6" s="6" t="s">
        <v>6</v>
      </c>
    </row>
    <row r="7" customFormat="false" ht="15" hidden="false" customHeight="false" outlineLevel="0" collapsed="false">
      <c r="B7" s="4" t="s">
        <v>7</v>
      </c>
      <c r="D7" s="7" t="n">
        <v>46285</v>
      </c>
      <c r="F7" s="6" t="s">
        <v>8</v>
      </c>
    </row>
    <row r="8" customFormat="false" ht="15" hidden="false" customHeight="false" outlineLevel="0" collapsed="false">
      <c r="B8" s="4" t="s">
        <v>9</v>
      </c>
      <c r="D8" s="5" t="n">
        <v>1</v>
      </c>
      <c r="F8" s="6" t="s">
        <v>10</v>
      </c>
    </row>
    <row r="10" customFormat="false" ht="19.5" hidden="false" customHeight="true" outlineLevel="0" collapsed="false">
      <c r="A10" s="3" t="s">
        <v>11</v>
      </c>
      <c r="B10" s="3"/>
      <c r="C10" s="3"/>
      <c r="D10" s="3"/>
      <c r="E10" s="3"/>
      <c r="F10" s="3"/>
    </row>
    <row r="11" customFormat="false" ht="30" hidden="false" customHeight="true" outlineLevel="0" collapsed="false">
      <c r="B11" s="8" t="s">
        <v>12</v>
      </c>
      <c r="C11" s="8" t="s">
        <v>13</v>
      </c>
      <c r="D11" s="8" t="s">
        <v>14</v>
      </c>
      <c r="E11" s="8" t="s">
        <v>15</v>
      </c>
      <c r="F11" s="8" t="s">
        <v>16</v>
      </c>
    </row>
    <row r="12" customFormat="false" ht="15" hidden="false" customHeight="false" outlineLevel="0" collapsed="false">
      <c r="B12" s="9" t="s">
        <v>17</v>
      </c>
      <c r="C12" s="10" t="s">
        <v>18</v>
      </c>
      <c r="D12" s="11" t="n">
        <f aca="false">'Compra de Concentrado'!D4</f>
        <v>0.882</v>
      </c>
      <c r="E12" s="12" t="n">
        <f aca="false">'Compra de Concentrado'!E4</f>
        <v>88.2</v>
      </c>
      <c r="F12" s="13" t="n">
        <f aca="false">'Compra de Concentrado'!G4</f>
        <v>3</v>
      </c>
    </row>
    <row r="13" customFormat="false" ht="15" hidden="false" customHeight="false" outlineLevel="0" collapsed="false">
      <c r="B13" s="14" t="s">
        <v>19</v>
      </c>
      <c r="C13" s="15" t="s">
        <v>20</v>
      </c>
      <c r="D13" s="16" t="n">
        <f aca="false">'Compra de Concentrado'!D5</f>
        <v>1.47</v>
      </c>
      <c r="E13" s="17" t="n">
        <f aca="false">'Compra de Concentrado'!E5</f>
        <v>147</v>
      </c>
      <c r="F13" s="18" t="n">
        <f aca="false">'Compra de Concentrado'!G5</f>
        <v>4</v>
      </c>
    </row>
    <row r="14" customFormat="false" ht="15" hidden="false" customHeight="false" outlineLevel="0" collapsed="false">
      <c r="B14" s="19" t="s">
        <v>21</v>
      </c>
      <c r="C14" s="20" t="s">
        <v>22</v>
      </c>
      <c r="D14" s="21" t="n">
        <f aca="false">'Compra de Concentrado'!D6</f>
        <v>2.114</v>
      </c>
      <c r="E14" s="22" t="n">
        <f aca="false">'Compra de Concentrado'!E6</f>
        <v>211.4</v>
      </c>
      <c r="F14" s="23" t="n">
        <f aca="false">'Compra de Concentrado'!G6</f>
        <v>6</v>
      </c>
    </row>
    <row r="15" customFormat="false" ht="15" hidden="false" customHeight="false" outlineLevel="0" collapsed="false">
      <c r="B15" s="24" t="s">
        <v>23</v>
      </c>
      <c r="C15" s="25"/>
      <c r="D15" s="26" t="n">
        <f aca="false">SUM(D12:D14)</f>
        <v>4.466</v>
      </c>
      <c r="E15" s="26" t="n">
        <f aca="false">SUM(E12:E14)</f>
        <v>446.6</v>
      </c>
      <c r="F15" s="27" t="n">
        <f aca="false">SUM(F12:F14)</f>
        <v>13</v>
      </c>
    </row>
    <row r="17" customFormat="false" ht="19.5" hidden="false" customHeight="true" outlineLevel="0" collapsed="false">
      <c r="A17" s="3" t="s">
        <v>24</v>
      </c>
      <c r="B17" s="3"/>
      <c r="C17" s="3"/>
      <c r="D17" s="3"/>
      <c r="E17" s="3"/>
      <c r="F17" s="3"/>
    </row>
    <row r="18" customFormat="false" ht="15" hidden="false" customHeight="false" outlineLevel="0" collapsed="false">
      <c r="B18" s="4" t="s">
        <v>25</v>
      </c>
      <c r="D18" s="28" t="str">
        <f aca="false">INDEX('Tabla Semanal'!$B$4:$B$10,MATCH(SemanaConsulta,'Tabla Semanal'!$A$4:$A$10,0))</f>
        <v>Inicio</v>
      </c>
    </row>
    <row r="19" customFormat="false" ht="15" hidden="false" customHeight="false" outlineLevel="0" collapsed="false">
      <c r="B19" s="4" t="s">
        <v>26</v>
      </c>
      <c r="D19" s="28" t="str">
        <f aca="false">INDEX('Tabla Semanal'!$C$4:$C$10,MATCH(SemanaConsulta,'Tabla Semanal'!$A$4:$A$10,0))&amp;" a "&amp;INDEX('Tabla Semanal'!$D$4:$D$10,MATCH(SemanaConsulta,'Tabla Semanal'!$A$4:$A$10,0))&amp;" días"</f>
        <v>1 a 7 días</v>
      </c>
    </row>
    <row r="20" customFormat="false" ht="15" hidden="false" customHeight="false" outlineLevel="0" collapsed="false">
      <c r="B20" s="4" t="s">
        <v>27</v>
      </c>
      <c r="D20" s="29" t="n">
        <f aca="false">INDEX('Tabla Semanal'!$E$4:$E$10,MATCH(SemanaConsulta,'Tabla Semanal'!$A$4:$A$10,0))</f>
        <v>18</v>
      </c>
    </row>
    <row r="21" customFormat="false" ht="15" hidden="false" customHeight="false" outlineLevel="0" collapsed="false">
      <c r="B21" s="4" t="s">
        <v>28</v>
      </c>
      <c r="D21" s="30" t="n">
        <f aca="false">INDEX('Tabla Semanal'!$F$4:$F$10,MATCH(SemanaConsulta,'Tabla Semanal'!$A$4:$A$10,0))</f>
        <v>0.018</v>
      </c>
    </row>
    <row r="22" customFormat="false" ht="15" hidden="false" customHeight="false" outlineLevel="0" collapsed="false">
      <c r="B22" s="4" t="s">
        <v>29</v>
      </c>
      <c r="D22" s="31" t="n">
        <f aca="false">INDEX('Tabla Semanal'!$G$4:$G$10,MATCH(SemanaConsulta,'Tabla Semanal'!$A$4:$A$10,0))</f>
        <v>1.8</v>
      </c>
    </row>
    <row r="23" customFormat="false" ht="15" hidden="false" customHeight="false" outlineLevel="0" collapsed="false">
      <c r="B23" s="4" t="s">
        <v>30</v>
      </c>
      <c r="D23" s="31" t="n">
        <f aca="false">INDEX('Tabla Semanal'!$H$4:$H$10,MATCH(SemanaConsulta,'Tabla Semanal'!$A$4:$A$10,0))</f>
        <v>12.6</v>
      </c>
    </row>
    <row r="24" customFormat="false" ht="15" hidden="false" customHeight="false" outlineLevel="0" collapsed="false">
      <c r="B24" s="4" t="s">
        <v>31</v>
      </c>
      <c r="D24" s="30" t="n">
        <f aca="false">INDEX('Tabla Semanal'!$I$4:$I$10,MATCH(SemanaConsulta,'Tabla Semanal'!$A$4:$A$10,0))</f>
        <v>0.315</v>
      </c>
    </row>
    <row r="25" customFormat="false" ht="15" hidden="false" customHeight="false" outlineLevel="0" collapsed="false">
      <c r="B25" s="4" t="s">
        <v>32</v>
      </c>
      <c r="D25" s="32" t="n">
        <f aca="false">INDEX('Tabla Semanal'!$J$4:$J$10,MATCH(SemanaConsulta,'Tabla Semanal'!$A$4:$A$10,0))</f>
        <v>1</v>
      </c>
    </row>
    <row r="26" customFormat="false" ht="15" hidden="false" customHeight="false" outlineLevel="0" collapsed="false">
      <c r="B26" s="4" t="s">
        <v>33</v>
      </c>
      <c r="D26" s="31" t="n">
        <f aca="false">INDEX('Tabla Semanal'!$K$4:$K$10,MATCH(SemanaConsulta,'Tabla Semanal'!$A$4:$A$10,0))</f>
        <v>12.6</v>
      </c>
    </row>
    <row r="27" customFormat="false" ht="15" hidden="false" customHeight="false" outlineLevel="0" collapsed="false">
      <c r="B27" s="4" t="s">
        <v>34</v>
      </c>
      <c r="D27" s="29" t="n">
        <f aca="false">INDEX('Tabla Semanal'!$M$4:$M$10,MATCH(SemanaConsulta,'Tabla Semanal'!$A$4:$A$10,0))</f>
        <v>1</v>
      </c>
    </row>
    <row r="29" customFormat="false" ht="19.5" hidden="false" customHeight="true" outlineLevel="0" collapsed="false">
      <c r="A29" s="3" t="s">
        <v>35</v>
      </c>
      <c r="B29" s="3"/>
      <c r="C29" s="3"/>
      <c r="D29" s="3"/>
      <c r="E29" s="3"/>
      <c r="F29" s="3"/>
    </row>
    <row r="30" customFormat="false" ht="15" hidden="false" customHeight="false" outlineLevel="0" collapsed="false">
      <c r="B30" s="4" t="s">
        <v>36</v>
      </c>
      <c r="D30" s="31" t="n">
        <f aca="false">D31/CantidadPollos</f>
        <v>4.466</v>
      </c>
    </row>
    <row r="31" customFormat="false" ht="15" hidden="false" customHeight="false" outlineLevel="0" collapsed="false">
      <c r="B31" s="4" t="s">
        <v>37</v>
      </c>
      <c r="D31" s="31" t="n">
        <f aca="false">'Tabla Semanal'!$K$10</f>
        <v>446.6</v>
      </c>
    </row>
    <row r="32" customFormat="false" ht="15" hidden="false" customHeight="false" outlineLevel="0" collapsed="false">
      <c r="B32" s="4" t="s">
        <v>38</v>
      </c>
      <c r="D32" s="32" t="n">
        <f aca="false">'Tabla Semanal'!$M$10</f>
        <v>12</v>
      </c>
    </row>
    <row r="33" customFormat="false" ht="15" hidden="false" customHeight="false" outlineLevel="0" collapsed="false">
      <c r="B33" s="4" t="s">
        <v>39</v>
      </c>
      <c r="D33" s="32" t="n">
        <f aca="false">'Tabla Semanal'!$J$11</f>
        <v>15</v>
      </c>
    </row>
    <row r="35" customFormat="false" ht="15" hidden="false" customHeight="true" outlineLevel="0" collapsed="false">
      <c r="A35" s="33" t="s">
        <v>40</v>
      </c>
      <c r="B35" s="33"/>
      <c r="C35" s="33"/>
      <c r="D35" s="33"/>
      <c r="E35" s="33"/>
      <c r="F35" s="33"/>
    </row>
  </sheetData>
  <mergeCells count="7">
    <mergeCell ref="A1:F1"/>
    <mergeCell ref="A2:F2"/>
    <mergeCell ref="A4:F4"/>
    <mergeCell ref="A10:F10"/>
    <mergeCell ref="A17:F17"/>
    <mergeCell ref="A29:F29"/>
    <mergeCell ref="A35:F35"/>
  </mergeCells>
  <dataValidations count="3">
    <dataValidation allowBlank="false" error="Lo habitual es 40 o 50 kg. Puede continuar con otro valor si su presentación es diferente." errorStyle="warning" errorTitle="Peso de bulto inusual" operator="between" showDropDown="false" showErrorMessage="true" showInputMessage="false" sqref="D6" type="list">
      <formula1>"40,50"</formula1>
      <formula2>0</formula2>
    </dataValidation>
    <dataValidation allowBlank="false" error="Elija un número de semana entre 1 y 7." errorStyle="stop" errorTitle="Semana inválida" operator="between" showDropDown="false" showErrorMessage="true" showInputMessage="false" sqref="D8" type="list">
      <formula1>"1,2,3,4,5,6,7"</formula1>
      <formula2>0</formula2>
    </dataValidation>
    <dataValidation allowBlank="false" error="Ingrese un número entero de pollos mayor que 0." errorStyle="stop" errorTitle="Cantidad inválida" operator="greaterThan" showDropDown="false" showErrorMessage="true" showInputMessage="false" sqref="D5"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M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10"/>
    <col collapsed="false" customWidth="true" hidden="false" outlineLevel="0" max="4" min="4" style="0" width="9"/>
    <col collapsed="false" customWidth="true" hidden="false" outlineLevel="0" max="6" min="5" style="0" width="14"/>
    <col collapsed="false" customWidth="true" hidden="false" outlineLevel="0" max="7" min="7" style="0" width="15"/>
    <col collapsed="false" customWidth="true" hidden="false" outlineLevel="0" max="8" min="8" style="0" width="16"/>
    <col collapsed="false" customWidth="true" hidden="false" outlineLevel="0" max="10" min="9" style="0" width="14"/>
    <col collapsed="false" customWidth="true" hidden="false" outlineLevel="0" max="11" min="11" style="0" width="16"/>
    <col collapsed="false" customWidth="true" hidden="false" outlineLevel="0" max="12" min="12" style="0" width="14"/>
    <col collapsed="false" customWidth="true" hidden="false" outlineLevel="0" max="13" min="13" style="0" width="16"/>
  </cols>
  <sheetData>
    <row r="1" customFormat="false" ht="25.5" hidden="false" customHeight="true" outlineLevel="0" collapsed="false">
      <c r="A1" s="34" t="s">
        <v>41</v>
      </c>
      <c r="B1" s="34"/>
      <c r="C1" s="34"/>
      <c r="D1" s="34"/>
      <c r="E1" s="34"/>
      <c r="F1" s="34"/>
      <c r="G1" s="34"/>
      <c r="H1" s="34"/>
      <c r="I1" s="34"/>
      <c r="J1" s="34"/>
      <c r="K1" s="34"/>
      <c r="L1" s="34"/>
      <c r="M1" s="34"/>
    </row>
    <row r="2" customFormat="false" ht="15" hidden="false" customHeight="false" outlineLevel="0" collapsed="false">
      <c r="A2" s="2" t="s">
        <v>42</v>
      </c>
      <c r="B2" s="2"/>
      <c r="C2" s="2"/>
      <c r="D2" s="2"/>
      <c r="E2" s="2"/>
      <c r="F2" s="2"/>
      <c r="G2" s="2"/>
      <c r="H2" s="2"/>
      <c r="I2" s="2"/>
      <c r="J2" s="2"/>
      <c r="K2" s="2"/>
      <c r="L2" s="2"/>
      <c r="M2" s="2"/>
    </row>
    <row r="3" customFormat="false" ht="36" hidden="false" customHeight="true" outlineLevel="0" collapsed="false">
      <c r="A3" s="8" t="s">
        <v>43</v>
      </c>
      <c r="B3" s="8" t="s">
        <v>12</v>
      </c>
      <c r="C3" s="8" t="s">
        <v>44</v>
      </c>
      <c r="D3" s="8" t="s">
        <v>45</v>
      </c>
      <c r="E3" s="8" t="s">
        <v>46</v>
      </c>
      <c r="F3" s="8" t="s">
        <v>47</v>
      </c>
      <c r="G3" s="8" t="s">
        <v>48</v>
      </c>
      <c r="H3" s="8" t="s">
        <v>49</v>
      </c>
      <c r="I3" s="8" t="s">
        <v>50</v>
      </c>
      <c r="J3" s="8" t="s">
        <v>51</v>
      </c>
      <c r="K3" s="8" t="s">
        <v>52</v>
      </c>
      <c r="L3" s="8" t="s">
        <v>53</v>
      </c>
      <c r="M3" s="8" t="s">
        <v>54</v>
      </c>
    </row>
    <row r="4" customFormat="false" ht="15" hidden="false" customHeight="false" outlineLevel="0" collapsed="false">
      <c r="A4" s="35" t="n">
        <v>1</v>
      </c>
      <c r="B4" s="36" t="str">
        <f aca="false">INDEX('Tabla Tecnica Base'!$B$4:$B$10,MATCH(A4,'Tabla Tecnica Base'!$A$4:$A$10,0))</f>
        <v>Inicio</v>
      </c>
      <c r="C4" s="37" t="n">
        <f aca="false">INDEX('Tabla Tecnica Base'!$C$4:$C$10,MATCH(A4,'Tabla Tecnica Base'!$A$4:$A$10,0))</f>
        <v>1</v>
      </c>
      <c r="D4" s="37" t="n">
        <f aca="false">INDEX('Tabla Tecnica Base'!$D$4:$D$10,MATCH(A4,'Tabla Tecnica Base'!$A$4:$A$10,0))</f>
        <v>7</v>
      </c>
      <c r="E4" s="37" t="n">
        <f aca="false">INDEX('Tabla Tecnica Base'!$E$4:$E$10,MATCH(A4,'Tabla Tecnica Base'!$A$4:$A$10,0))</f>
        <v>18</v>
      </c>
      <c r="F4" s="38" t="n">
        <f aca="false">E4/1000</f>
        <v>0.018</v>
      </c>
      <c r="G4" s="38" t="n">
        <f aca="false">F4*CantidadPollos</f>
        <v>1.8</v>
      </c>
      <c r="H4" s="39" t="n">
        <f aca="false">G4*7</f>
        <v>12.6</v>
      </c>
      <c r="I4" s="38" t="n">
        <f aca="false">H4/PesoBulto</f>
        <v>0.315</v>
      </c>
      <c r="J4" s="40" t="n">
        <f aca="false">ROUNDUP(I4,0)</f>
        <v>1</v>
      </c>
      <c r="K4" s="39" t="n">
        <f aca="false">H4</f>
        <v>12.6</v>
      </c>
      <c r="L4" s="38" t="n">
        <f aca="false">K4/PesoBulto</f>
        <v>0.315</v>
      </c>
      <c r="M4" s="41" t="n">
        <f aca="false">ROUNDUP(L4,0)</f>
        <v>1</v>
      </c>
    </row>
    <row r="5" customFormat="false" ht="15" hidden="false" customHeight="false" outlineLevel="0" collapsed="false">
      <c r="A5" s="35" t="n">
        <v>2</v>
      </c>
      <c r="B5" s="36" t="str">
        <f aca="false">INDEX('Tabla Tecnica Base'!$B$4:$B$10,MATCH(A5,'Tabla Tecnica Base'!$A$4:$A$10,0))</f>
        <v>Inicio</v>
      </c>
      <c r="C5" s="37" t="n">
        <f aca="false">INDEX('Tabla Tecnica Base'!$C$4:$C$10,MATCH(A5,'Tabla Tecnica Base'!$A$4:$A$10,0))</f>
        <v>8</v>
      </c>
      <c r="D5" s="37" t="n">
        <f aca="false">INDEX('Tabla Tecnica Base'!$D$4:$D$10,MATCH(A5,'Tabla Tecnica Base'!$A$4:$A$10,0))</f>
        <v>14</v>
      </c>
      <c r="E5" s="37" t="n">
        <f aca="false">INDEX('Tabla Tecnica Base'!$E$4:$E$10,MATCH(A5,'Tabla Tecnica Base'!$A$4:$A$10,0))</f>
        <v>42</v>
      </c>
      <c r="F5" s="38" t="n">
        <f aca="false">E5/1000</f>
        <v>0.042</v>
      </c>
      <c r="G5" s="38" t="n">
        <f aca="false">F5*CantidadPollos</f>
        <v>4.2</v>
      </c>
      <c r="H5" s="39" t="n">
        <f aca="false">G5*7</f>
        <v>29.4</v>
      </c>
      <c r="I5" s="38" t="n">
        <f aca="false">H5/PesoBulto</f>
        <v>0.735</v>
      </c>
      <c r="J5" s="40" t="n">
        <f aca="false">ROUNDUP(I5,0)</f>
        <v>1</v>
      </c>
      <c r="K5" s="39" t="n">
        <f aca="false">K4+H5</f>
        <v>42</v>
      </c>
      <c r="L5" s="38" t="n">
        <f aca="false">K5/PesoBulto</f>
        <v>1.05</v>
      </c>
      <c r="M5" s="41" t="n">
        <f aca="false">ROUNDUP(L5,0)</f>
        <v>2</v>
      </c>
    </row>
    <row r="6" customFormat="false" ht="15" hidden="false" customHeight="false" outlineLevel="0" collapsed="false">
      <c r="A6" s="35" t="n">
        <v>3</v>
      </c>
      <c r="B6" s="36" t="str">
        <f aca="false">INDEX('Tabla Tecnica Base'!$B$4:$B$10,MATCH(A6,'Tabla Tecnica Base'!$A$4:$A$10,0))</f>
        <v>Inicio</v>
      </c>
      <c r="C6" s="37" t="n">
        <f aca="false">INDEX('Tabla Tecnica Base'!$C$4:$C$10,MATCH(A6,'Tabla Tecnica Base'!$A$4:$A$10,0))</f>
        <v>15</v>
      </c>
      <c r="D6" s="37" t="n">
        <f aca="false">INDEX('Tabla Tecnica Base'!$D$4:$D$10,MATCH(A6,'Tabla Tecnica Base'!$A$4:$A$10,0))</f>
        <v>21</v>
      </c>
      <c r="E6" s="37" t="n">
        <f aca="false">INDEX('Tabla Tecnica Base'!$E$4:$E$10,MATCH(A6,'Tabla Tecnica Base'!$A$4:$A$10,0))</f>
        <v>66</v>
      </c>
      <c r="F6" s="38" t="n">
        <f aca="false">E6/1000</f>
        <v>0.066</v>
      </c>
      <c r="G6" s="38" t="n">
        <f aca="false">F6*CantidadPollos</f>
        <v>6.6</v>
      </c>
      <c r="H6" s="39" t="n">
        <f aca="false">G6*7</f>
        <v>46.2</v>
      </c>
      <c r="I6" s="38" t="n">
        <f aca="false">H6/PesoBulto</f>
        <v>1.155</v>
      </c>
      <c r="J6" s="40" t="n">
        <f aca="false">ROUNDUP(I6,0)</f>
        <v>2</v>
      </c>
      <c r="K6" s="39" t="n">
        <f aca="false">K5+H6</f>
        <v>88.2</v>
      </c>
      <c r="L6" s="38" t="n">
        <f aca="false">K6/PesoBulto</f>
        <v>2.205</v>
      </c>
      <c r="M6" s="41" t="n">
        <f aca="false">ROUNDUP(L6,0)</f>
        <v>3</v>
      </c>
    </row>
    <row r="7" customFormat="false" ht="15" hidden="false" customHeight="false" outlineLevel="0" collapsed="false">
      <c r="A7" s="42" t="n">
        <v>4</v>
      </c>
      <c r="B7" s="43" t="str">
        <f aca="false">INDEX('Tabla Tecnica Base'!$B$4:$B$10,MATCH(A7,'Tabla Tecnica Base'!$A$4:$A$10,0))</f>
        <v>Crecimiento</v>
      </c>
      <c r="C7" s="44" t="n">
        <f aca="false">INDEX('Tabla Tecnica Base'!$C$4:$C$10,MATCH(A7,'Tabla Tecnica Base'!$A$4:$A$10,0))</f>
        <v>22</v>
      </c>
      <c r="D7" s="44" t="n">
        <f aca="false">INDEX('Tabla Tecnica Base'!$D$4:$D$10,MATCH(A7,'Tabla Tecnica Base'!$A$4:$A$10,0))</f>
        <v>28</v>
      </c>
      <c r="E7" s="44" t="n">
        <f aca="false">INDEX('Tabla Tecnica Base'!$E$4:$E$10,MATCH(A7,'Tabla Tecnica Base'!$A$4:$A$10,0))</f>
        <v>92</v>
      </c>
      <c r="F7" s="38" t="n">
        <f aca="false">E7/1000</f>
        <v>0.092</v>
      </c>
      <c r="G7" s="38" t="n">
        <f aca="false">F7*CantidadPollos</f>
        <v>9.2</v>
      </c>
      <c r="H7" s="39" t="n">
        <f aca="false">G7*7</f>
        <v>64.4</v>
      </c>
      <c r="I7" s="38" t="n">
        <f aca="false">H7/PesoBulto</f>
        <v>1.61</v>
      </c>
      <c r="J7" s="40" t="n">
        <f aca="false">ROUNDUP(I7,0)</f>
        <v>2</v>
      </c>
      <c r="K7" s="39" t="n">
        <f aca="false">K6+H7</f>
        <v>152.6</v>
      </c>
      <c r="L7" s="38" t="n">
        <f aca="false">K7/PesoBulto</f>
        <v>3.815</v>
      </c>
      <c r="M7" s="41" t="n">
        <f aca="false">ROUNDUP(L7,0)</f>
        <v>4</v>
      </c>
    </row>
    <row r="8" customFormat="false" ht="15" hidden="false" customHeight="false" outlineLevel="0" collapsed="false">
      <c r="A8" s="42" t="n">
        <v>5</v>
      </c>
      <c r="B8" s="43" t="str">
        <f aca="false">INDEX('Tabla Tecnica Base'!$B$4:$B$10,MATCH(A8,'Tabla Tecnica Base'!$A$4:$A$10,0))</f>
        <v>Crecimiento</v>
      </c>
      <c r="C8" s="44" t="n">
        <f aca="false">INDEX('Tabla Tecnica Base'!$C$4:$C$10,MATCH(A8,'Tabla Tecnica Base'!$A$4:$A$10,0))</f>
        <v>29</v>
      </c>
      <c r="D8" s="44" t="n">
        <f aca="false">INDEX('Tabla Tecnica Base'!$D$4:$D$10,MATCH(A8,'Tabla Tecnica Base'!$A$4:$A$10,0))</f>
        <v>35</v>
      </c>
      <c r="E8" s="44" t="n">
        <f aca="false">INDEX('Tabla Tecnica Base'!$E$4:$E$10,MATCH(A8,'Tabla Tecnica Base'!$A$4:$A$10,0))</f>
        <v>118</v>
      </c>
      <c r="F8" s="38" t="n">
        <f aca="false">E8/1000</f>
        <v>0.118</v>
      </c>
      <c r="G8" s="38" t="n">
        <f aca="false">F8*CantidadPollos</f>
        <v>11.8</v>
      </c>
      <c r="H8" s="39" t="n">
        <f aca="false">G8*7</f>
        <v>82.6</v>
      </c>
      <c r="I8" s="38" t="n">
        <f aca="false">H8/PesoBulto</f>
        <v>2.065</v>
      </c>
      <c r="J8" s="40" t="n">
        <f aca="false">ROUNDUP(I8,0)</f>
        <v>3</v>
      </c>
      <c r="K8" s="39" t="n">
        <f aca="false">K7+H8</f>
        <v>235.2</v>
      </c>
      <c r="L8" s="38" t="n">
        <f aca="false">K8/PesoBulto</f>
        <v>5.88</v>
      </c>
      <c r="M8" s="41" t="n">
        <f aca="false">ROUNDUP(L8,0)</f>
        <v>6</v>
      </c>
    </row>
    <row r="9" customFormat="false" ht="15" hidden="false" customHeight="false" outlineLevel="0" collapsed="false">
      <c r="A9" s="45" t="n">
        <v>6</v>
      </c>
      <c r="B9" s="46" t="str">
        <f aca="false">INDEX('Tabla Tecnica Base'!$B$4:$B$10,MATCH(A9,'Tabla Tecnica Base'!$A$4:$A$10,0))</f>
        <v>Engorde</v>
      </c>
      <c r="C9" s="47" t="n">
        <f aca="false">INDEX('Tabla Tecnica Base'!$C$4:$C$10,MATCH(A9,'Tabla Tecnica Base'!$A$4:$A$10,0))</f>
        <v>36</v>
      </c>
      <c r="D9" s="47" t="n">
        <f aca="false">INDEX('Tabla Tecnica Base'!$D$4:$D$10,MATCH(A9,'Tabla Tecnica Base'!$A$4:$A$10,0))</f>
        <v>42</v>
      </c>
      <c r="E9" s="47" t="n">
        <f aca="false">INDEX('Tabla Tecnica Base'!$E$4:$E$10,MATCH(A9,'Tabla Tecnica Base'!$A$4:$A$10,0))</f>
        <v>142</v>
      </c>
      <c r="F9" s="38" t="n">
        <f aca="false">E9/1000</f>
        <v>0.142</v>
      </c>
      <c r="G9" s="38" t="n">
        <f aca="false">F9*CantidadPollos</f>
        <v>14.2</v>
      </c>
      <c r="H9" s="39" t="n">
        <f aca="false">G9*7</f>
        <v>99.4</v>
      </c>
      <c r="I9" s="38" t="n">
        <f aca="false">H9/PesoBulto</f>
        <v>2.485</v>
      </c>
      <c r="J9" s="40" t="n">
        <f aca="false">ROUNDUP(I9,0)</f>
        <v>3</v>
      </c>
      <c r="K9" s="39" t="n">
        <f aca="false">K8+H9</f>
        <v>334.6</v>
      </c>
      <c r="L9" s="38" t="n">
        <f aca="false">K9/PesoBulto</f>
        <v>8.365</v>
      </c>
      <c r="M9" s="41" t="n">
        <f aca="false">ROUNDUP(L9,0)</f>
        <v>9</v>
      </c>
    </row>
    <row r="10" customFormat="false" ht="15" hidden="false" customHeight="false" outlineLevel="0" collapsed="false">
      <c r="A10" s="45" t="n">
        <v>7</v>
      </c>
      <c r="B10" s="46" t="str">
        <f aca="false">INDEX('Tabla Tecnica Base'!$B$4:$B$10,MATCH(A10,'Tabla Tecnica Base'!$A$4:$A$10,0))</f>
        <v>Engorde</v>
      </c>
      <c r="C10" s="47" t="n">
        <f aca="false">INDEX('Tabla Tecnica Base'!$C$4:$C$10,MATCH(A10,'Tabla Tecnica Base'!$A$4:$A$10,0))</f>
        <v>43</v>
      </c>
      <c r="D10" s="47" t="n">
        <f aca="false">INDEX('Tabla Tecnica Base'!$D$4:$D$10,MATCH(A10,'Tabla Tecnica Base'!$A$4:$A$10,0))</f>
        <v>49</v>
      </c>
      <c r="E10" s="47" t="n">
        <f aca="false">INDEX('Tabla Tecnica Base'!$E$4:$E$10,MATCH(A10,'Tabla Tecnica Base'!$A$4:$A$10,0))</f>
        <v>160</v>
      </c>
      <c r="F10" s="38" t="n">
        <f aca="false">E10/1000</f>
        <v>0.16</v>
      </c>
      <c r="G10" s="38" t="n">
        <f aca="false">F10*CantidadPollos</f>
        <v>16</v>
      </c>
      <c r="H10" s="39" t="n">
        <f aca="false">G10*7</f>
        <v>112</v>
      </c>
      <c r="I10" s="38" t="n">
        <f aca="false">H10/PesoBulto</f>
        <v>2.8</v>
      </c>
      <c r="J10" s="40" t="n">
        <f aca="false">ROUNDUP(I10,0)</f>
        <v>3</v>
      </c>
      <c r="K10" s="39" t="n">
        <f aca="false">K9+H10</f>
        <v>446.6</v>
      </c>
      <c r="L10" s="38" t="n">
        <f aca="false">K10/PesoBulto</f>
        <v>11.165</v>
      </c>
      <c r="M10" s="41" t="n">
        <f aca="false">ROUNDUP(L10,0)</f>
        <v>12</v>
      </c>
    </row>
    <row r="11" customFormat="false" ht="15" hidden="false" customHeight="false" outlineLevel="0" collapsed="false">
      <c r="A11" s="48" t="s">
        <v>55</v>
      </c>
      <c r="B11" s="25"/>
      <c r="C11" s="25"/>
      <c r="D11" s="25"/>
      <c r="E11" s="25"/>
      <c r="F11" s="25"/>
      <c r="H11" s="26" t="n">
        <f aca="false">SUM(H4:H10)</f>
        <v>446.6</v>
      </c>
      <c r="I11" s="49"/>
      <c r="J11" s="27" t="n">
        <f aca="false">SUM(J4:J10)</f>
        <v>15</v>
      </c>
      <c r="K11" s="26" t="n">
        <f aca="false">K10</f>
        <v>446.6</v>
      </c>
      <c r="L11" s="49"/>
      <c r="M11" s="27" t="n">
        <f aca="false">M10</f>
        <v>12</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11"/>
    <col collapsed="false" customWidth="true" hidden="false" outlineLevel="0" max="4" min="4" style="0" width="10"/>
    <col collapsed="false" customWidth="true" hidden="false" outlineLevel="0" max="5" min="5" style="0" width="20"/>
    <col collapsed="false" customWidth="true" hidden="false" outlineLevel="0" max="6" min="6" style="0" width="60"/>
  </cols>
  <sheetData>
    <row r="1" customFormat="false" ht="25.5" hidden="false" customHeight="true" outlineLevel="0" collapsed="false">
      <c r="A1" s="34" t="s">
        <v>56</v>
      </c>
      <c r="B1" s="34"/>
      <c r="C1" s="34"/>
      <c r="D1" s="34"/>
      <c r="E1" s="34"/>
      <c r="F1" s="34"/>
    </row>
    <row r="2" customFormat="false" ht="15" hidden="false" customHeight="false" outlineLevel="0" collapsed="false">
      <c r="A2" s="2" t="s">
        <v>57</v>
      </c>
      <c r="B2" s="2"/>
      <c r="C2" s="2"/>
      <c r="D2" s="2"/>
      <c r="E2" s="2"/>
      <c r="F2" s="2"/>
    </row>
    <row r="3" customFormat="false" ht="30" hidden="false" customHeight="true" outlineLevel="0" collapsed="false">
      <c r="A3" s="8" t="s">
        <v>43</v>
      </c>
      <c r="B3" s="8" t="s">
        <v>12</v>
      </c>
      <c r="C3" s="8" t="s">
        <v>58</v>
      </c>
      <c r="D3" s="8" t="s">
        <v>59</v>
      </c>
      <c r="E3" s="8" t="s">
        <v>46</v>
      </c>
      <c r="F3" s="8" t="s">
        <v>60</v>
      </c>
    </row>
    <row r="4" customFormat="false" ht="30" hidden="false" customHeight="true" outlineLevel="0" collapsed="false">
      <c r="A4" s="10" t="n">
        <v>1</v>
      </c>
      <c r="B4" s="35" t="s">
        <v>17</v>
      </c>
      <c r="C4" s="10" t="n">
        <v>1</v>
      </c>
      <c r="D4" s="10" t="n">
        <v>7</v>
      </c>
      <c r="E4" s="5" t="n">
        <v>18</v>
      </c>
      <c r="F4" s="50" t="s">
        <v>61</v>
      </c>
    </row>
    <row r="5" customFormat="false" ht="30" hidden="false" customHeight="true" outlineLevel="0" collapsed="false">
      <c r="A5" s="10" t="n">
        <v>2</v>
      </c>
      <c r="B5" s="35" t="s">
        <v>17</v>
      </c>
      <c r="C5" s="10" t="n">
        <v>8</v>
      </c>
      <c r="D5" s="10" t="n">
        <v>14</v>
      </c>
      <c r="E5" s="5" t="n">
        <v>42</v>
      </c>
      <c r="F5" s="50" t="s">
        <v>61</v>
      </c>
    </row>
    <row r="6" customFormat="false" ht="30" hidden="false" customHeight="true" outlineLevel="0" collapsed="false">
      <c r="A6" s="10" t="n">
        <v>3</v>
      </c>
      <c r="B6" s="35" t="s">
        <v>17</v>
      </c>
      <c r="C6" s="10" t="n">
        <v>15</v>
      </c>
      <c r="D6" s="10" t="n">
        <v>21</v>
      </c>
      <c r="E6" s="5" t="n">
        <v>66</v>
      </c>
      <c r="F6" s="50" t="s">
        <v>61</v>
      </c>
    </row>
    <row r="7" customFormat="false" ht="30" hidden="false" customHeight="true" outlineLevel="0" collapsed="false">
      <c r="A7" s="15" t="n">
        <v>4</v>
      </c>
      <c r="B7" s="42" t="s">
        <v>19</v>
      </c>
      <c r="C7" s="15" t="n">
        <v>22</v>
      </c>
      <c r="D7" s="15" t="n">
        <v>28</v>
      </c>
      <c r="E7" s="5" t="n">
        <v>92</v>
      </c>
      <c r="F7" s="50" t="s">
        <v>61</v>
      </c>
    </row>
    <row r="8" customFormat="false" ht="30" hidden="false" customHeight="true" outlineLevel="0" collapsed="false">
      <c r="A8" s="15" t="n">
        <v>5</v>
      </c>
      <c r="B8" s="42" t="s">
        <v>19</v>
      </c>
      <c r="C8" s="15" t="n">
        <v>29</v>
      </c>
      <c r="D8" s="15" t="n">
        <v>35</v>
      </c>
      <c r="E8" s="5" t="n">
        <v>118</v>
      </c>
      <c r="F8" s="50" t="s">
        <v>61</v>
      </c>
    </row>
    <row r="9" customFormat="false" ht="30" hidden="false" customHeight="true" outlineLevel="0" collapsed="false">
      <c r="A9" s="20" t="n">
        <v>6</v>
      </c>
      <c r="B9" s="45" t="s">
        <v>21</v>
      </c>
      <c r="C9" s="20" t="n">
        <v>36</v>
      </c>
      <c r="D9" s="20" t="n">
        <v>42</v>
      </c>
      <c r="E9" s="5" t="n">
        <v>142</v>
      </c>
      <c r="F9" s="50" t="s">
        <v>61</v>
      </c>
    </row>
    <row r="10" customFormat="false" ht="30" hidden="false" customHeight="true" outlineLevel="0" collapsed="false">
      <c r="A10" s="20" t="n">
        <v>7</v>
      </c>
      <c r="B10" s="45" t="s">
        <v>21</v>
      </c>
      <c r="C10" s="20" t="n">
        <v>43</v>
      </c>
      <c r="D10" s="20" t="n">
        <v>49</v>
      </c>
      <c r="E10" s="5" t="n">
        <v>160</v>
      </c>
      <c r="F10" s="50" t="s">
        <v>61</v>
      </c>
    </row>
    <row r="12" customFormat="false" ht="15" hidden="false" customHeight="true" outlineLevel="0" collapsed="false">
      <c r="A12" s="51" t="s">
        <v>62</v>
      </c>
      <c r="B12" s="51"/>
      <c r="C12" s="51"/>
      <c r="D12" s="51"/>
      <c r="E12" s="51"/>
      <c r="F12" s="51"/>
    </row>
    <row r="13" customFormat="false" ht="15" hidden="false" customHeight="false" outlineLevel="0" collapsed="false">
      <c r="A13" s="51"/>
      <c r="B13" s="51"/>
      <c r="C13" s="51"/>
      <c r="D13" s="51"/>
      <c r="E13" s="51"/>
      <c r="F13" s="51"/>
    </row>
    <row r="14" customFormat="false" ht="15" hidden="false" customHeight="false" outlineLevel="0" collapsed="false">
      <c r="A14" s="51"/>
      <c r="B14" s="51"/>
      <c r="C14" s="51"/>
      <c r="D14" s="51"/>
      <c r="E14" s="51"/>
      <c r="F14" s="51"/>
    </row>
    <row r="15" customFormat="false" ht="15" hidden="false" customHeight="false" outlineLevel="0" collapsed="false">
      <c r="A15" s="51"/>
      <c r="B15" s="51"/>
      <c r="C15" s="51"/>
      <c r="D15" s="51"/>
      <c r="E15" s="51"/>
      <c r="F15" s="51"/>
    </row>
  </sheetData>
  <mergeCells count="3">
    <mergeCell ref="A1:F1"/>
    <mergeCell ref="A2:F2"/>
    <mergeCell ref="A12: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K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9"/>
    <col collapsed="false" customWidth="true" hidden="false" outlineLevel="0" max="4" min="4" style="0" width="14"/>
    <col collapsed="false" customWidth="true" hidden="false" outlineLevel="0" max="5" min="5" style="0" width="16"/>
    <col collapsed="false" customWidth="true" hidden="false" outlineLevel="0" max="6" min="6" style="0" width="18"/>
    <col collapsed="false" customWidth="true" hidden="false" outlineLevel="0" max="7" min="7" style="0" width="14"/>
    <col collapsed="false" customWidth="true" hidden="false" outlineLevel="0" max="8" min="8" style="0" width="15"/>
    <col collapsed="false" customWidth="true" hidden="false" outlineLevel="0" max="10" min="9" style="0" width="12"/>
  </cols>
  <sheetData>
    <row r="1" customFormat="false" ht="25.5" hidden="false" customHeight="true" outlineLevel="0" collapsed="false">
      <c r="A1" s="34" t="s">
        <v>63</v>
      </c>
      <c r="B1" s="34"/>
      <c r="C1" s="34"/>
      <c r="D1" s="34"/>
      <c r="E1" s="34"/>
      <c r="F1" s="34"/>
      <c r="G1" s="34"/>
      <c r="H1" s="34"/>
      <c r="I1" s="34"/>
      <c r="J1" s="34"/>
    </row>
    <row r="2" customFormat="false" ht="15" hidden="false" customHeight="false" outlineLevel="0" collapsed="false">
      <c r="A2" s="2" t="s">
        <v>64</v>
      </c>
      <c r="B2" s="2"/>
      <c r="C2" s="2"/>
      <c r="D2" s="2"/>
      <c r="E2" s="2"/>
      <c r="F2" s="2"/>
      <c r="G2" s="2"/>
      <c r="H2" s="2"/>
      <c r="I2" s="2"/>
      <c r="J2" s="2"/>
    </row>
    <row r="4" customFormat="false" ht="33.75" hidden="false" customHeight="true" outlineLevel="0" collapsed="false">
      <c r="A4" s="8" t="s">
        <v>65</v>
      </c>
      <c r="B4" s="8" t="s">
        <v>66</v>
      </c>
      <c r="C4" s="8" t="s">
        <v>43</v>
      </c>
      <c r="D4" s="8" t="s">
        <v>12</v>
      </c>
      <c r="E4" s="8" t="s">
        <v>67</v>
      </c>
      <c r="F4" s="8" t="s">
        <v>68</v>
      </c>
      <c r="G4" s="8" t="s">
        <v>69</v>
      </c>
      <c r="H4" s="8" t="s">
        <v>70</v>
      </c>
      <c r="I4" s="8" t="s">
        <v>71</v>
      </c>
      <c r="J4" s="8" t="s">
        <v>72</v>
      </c>
    </row>
    <row r="5" customFormat="false" ht="74.6" hidden="false" customHeight="false" outlineLevel="0" collapsed="false">
      <c r="A5" s="52" t="n">
        <v>46285</v>
      </c>
      <c r="B5" s="41" t="n">
        <f aca="false">IF(A5="","",A5-FechaInicioLote+1)</f>
        <v>1</v>
      </c>
      <c r="C5" s="41" t="n">
        <f aca="false">IF(A5="","",MIN(7,MAX(1,ROUNDUP(B5/7,0))))</f>
        <v>1</v>
      </c>
      <c r="D5" s="53" t="str">
        <f aca="false">IF(A5="","",INDEX('Tabla Tecnica Base'!$B$4:$B$10,MATCH(C5,'Tabla Tecnica Base'!$A$4:$A$10,0)))</f>
        <v>Inicio</v>
      </c>
      <c r="E5" s="54" t="n">
        <v>2.5</v>
      </c>
      <c r="F5" s="54" t="n">
        <v>0.2</v>
      </c>
      <c r="G5" s="38" t="n">
        <f aca="false">IF(E5="","",E5-IF(F5="",0,F5))</f>
        <v>2.3</v>
      </c>
      <c r="H5" s="38" t="n">
        <f aca="false">IF(A5="","",INDEX('Tabla Tecnica Base'!$E$4:$E$10,MATCH(C5,'Tabla Tecnica Base'!$A$4:$A$10,0))/1000*CantidadPollos)</f>
        <v>1.8</v>
      </c>
      <c r="I5" s="38" t="n">
        <f aca="false">IF(OR(G5="",H5=""),"",G5-H5)</f>
        <v>0.5</v>
      </c>
      <c r="J5" s="55" t="n">
        <f aca="false">IF(OR(I5="",H5="",H5=0),"",I5/H5)</f>
        <v>0.277777777777778</v>
      </c>
      <c r="K5" s="6" t="s">
        <v>73</v>
      </c>
    </row>
    <row r="6" customFormat="false" ht="15" hidden="false" customHeight="false" outlineLevel="0" collapsed="false">
      <c r="A6" s="56"/>
      <c r="B6" s="41" t="str">
        <f aca="false">IF(A6="","",A6-FechaInicioLote+1)</f>
        <v/>
      </c>
      <c r="C6" s="41" t="str">
        <f aca="false">IF(A6="","",MIN(7,MAX(1,ROUNDUP(B6/7,0))))</f>
        <v/>
      </c>
      <c r="D6" s="53" t="str">
        <f aca="false">IF(A6="","",INDEX('Tabla Tecnica Base'!$B$4:$B$10,MATCH(C6,'Tabla Tecnica Base'!$A$4:$A$10,0)))</f>
        <v/>
      </c>
      <c r="E6" s="57"/>
      <c r="F6" s="57"/>
      <c r="G6" s="38" t="str">
        <f aca="false">IF(E6="","",E6-IF(F6="",0,F6))</f>
        <v/>
      </c>
      <c r="H6" s="38" t="str">
        <f aca="false">IF(A6="","",INDEX('Tabla Tecnica Base'!$E$4:$E$10,MATCH(C6,'Tabla Tecnica Base'!$A$4:$A$10,0))/1000*CantidadPollos)</f>
        <v/>
      </c>
      <c r="I6" s="38" t="str">
        <f aca="false">IF(OR(G6="",H6=""),"",G6-H6)</f>
        <v/>
      </c>
      <c r="J6" s="55" t="str">
        <f aca="false">IF(OR(I6="",H6="",H6=0),"",I6/H6)</f>
        <v/>
      </c>
    </row>
    <row r="7" customFormat="false" ht="15" hidden="false" customHeight="false" outlineLevel="0" collapsed="false">
      <c r="A7" s="56"/>
      <c r="B7" s="41" t="str">
        <f aca="false">IF(A7="","",A7-FechaInicioLote+1)</f>
        <v/>
      </c>
      <c r="C7" s="41" t="str">
        <f aca="false">IF(A7="","",MIN(7,MAX(1,ROUNDUP(B7/7,0))))</f>
        <v/>
      </c>
      <c r="D7" s="53" t="str">
        <f aca="false">IF(A7="","",INDEX('Tabla Tecnica Base'!$B$4:$B$10,MATCH(C7,'Tabla Tecnica Base'!$A$4:$A$10,0)))</f>
        <v/>
      </c>
      <c r="E7" s="57"/>
      <c r="F7" s="57"/>
      <c r="G7" s="38" t="str">
        <f aca="false">IF(E7="","",E7-IF(F7="",0,F7))</f>
        <v/>
      </c>
      <c r="H7" s="38" t="str">
        <f aca="false">IF(A7="","",INDEX('Tabla Tecnica Base'!$E$4:$E$10,MATCH(C7,'Tabla Tecnica Base'!$A$4:$A$10,0))/1000*CantidadPollos)</f>
        <v/>
      </c>
      <c r="I7" s="38" t="str">
        <f aca="false">IF(OR(G7="",H7=""),"",G7-H7)</f>
        <v/>
      </c>
      <c r="J7" s="55" t="str">
        <f aca="false">IF(OR(I7="",H7="",H7=0),"",I7/H7)</f>
        <v/>
      </c>
    </row>
    <row r="8" customFormat="false" ht="15" hidden="false" customHeight="false" outlineLevel="0" collapsed="false">
      <c r="A8" s="56"/>
      <c r="B8" s="41" t="str">
        <f aca="false">IF(A8="","",A8-FechaInicioLote+1)</f>
        <v/>
      </c>
      <c r="C8" s="41" t="str">
        <f aca="false">IF(A8="","",MIN(7,MAX(1,ROUNDUP(B8/7,0))))</f>
        <v/>
      </c>
      <c r="D8" s="53" t="str">
        <f aca="false">IF(A8="","",INDEX('Tabla Tecnica Base'!$B$4:$B$10,MATCH(C8,'Tabla Tecnica Base'!$A$4:$A$10,0)))</f>
        <v/>
      </c>
      <c r="E8" s="57"/>
      <c r="F8" s="57"/>
      <c r="G8" s="38" t="str">
        <f aca="false">IF(E8="","",E8-IF(F8="",0,F8))</f>
        <v/>
      </c>
      <c r="H8" s="38" t="str">
        <f aca="false">IF(A8="","",INDEX('Tabla Tecnica Base'!$E$4:$E$10,MATCH(C8,'Tabla Tecnica Base'!$A$4:$A$10,0))/1000*CantidadPollos)</f>
        <v/>
      </c>
      <c r="I8" s="38" t="str">
        <f aca="false">IF(OR(G8="",H8=""),"",G8-H8)</f>
        <v/>
      </c>
      <c r="J8" s="55" t="str">
        <f aca="false">IF(OR(I8="",H8="",H8=0),"",I8/H8)</f>
        <v/>
      </c>
    </row>
    <row r="9" customFormat="false" ht="15" hidden="false" customHeight="false" outlineLevel="0" collapsed="false">
      <c r="A9" s="56"/>
      <c r="B9" s="41" t="str">
        <f aca="false">IF(A9="","",A9-FechaInicioLote+1)</f>
        <v/>
      </c>
      <c r="C9" s="41" t="str">
        <f aca="false">IF(A9="","",MIN(7,MAX(1,ROUNDUP(B9/7,0))))</f>
        <v/>
      </c>
      <c r="D9" s="53" t="str">
        <f aca="false">IF(A9="","",INDEX('Tabla Tecnica Base'!$B$4:$B$10,MATCH(C9,'Tabla Tecnica Base'!$A$4:$A$10,0)))</f>
        <v/>
      </c>
      <c r="E9" s="57"/>
      <c r="F9" s="57"/>
      <c r="G9" s="38" t="str">
        <f aca="false">IF(E9="","",E9-IF(F9="",0,F9))</f>
        <v/>
      </c>
      <c r="H9" s="38" t="str">
        <f aca="false">IF(A9="","",INDEX('Tabla Tecnica Base'!$E$4:$E$10,MATCH(C9,'Tabla Tecnica Base'!$A$4:$A$10,0))/1000*CantidadPollos)</f>
        <v/>
      </c>
      <c r="I9" s="38" t="str">
        <f aca="false">IF(OR(G9="",H9=""),"",G9-H9)</f>
        <v/>
      </c>
      <c r="J9" s="55" t="str">
        <f aca="false">IF(OR(I9="",H9="",H9=0),"",I9/H9)</f>
        <v/>
      </c>
    </row>
    <row r="10" customFormat="false" ht="15" hidden="false" customHeight="false" outlineLevel="0" collapsed="false">
      <c r="A10" s="56"/>
      <c r="B10" s="41" t="str">
        <f aca="false">IF(A10="","",A10-FechaInicioLote+1)</f>
        <v/>
      </c>
      <c r="C10" s="41" t="str">
        <f aca="false">IF(A10="","",MIN(7,MAX(1,ROUNDUP(B10/7,0))))</f>
        <v/>
      </c>
      <c r="D10" s="53" t="str">
        <f aca="false">IF(A10="","",INDEX('Tabla Tecnica Base'!$B$4:$B$10,MATCH(C10,'Tabla Tecnica Base'!$A$4:$A$10,0)))</f>
        <v/>
      </c>
      <c r="E10" s="57"/>
      <c r="F10" s="57"/>
      <c r="G10" s="38" t="str">
        <f aca="false">IF(E10="","",E10-IF(F10="",0,F10))</f>
        <v/>
      </c>
      <c r="H10" s="38" t="str">
        <f aca="false">IF(A10="","",INDEX('Tabla Tecnica Base'!$E$4:$E$10,MATCH(C10,'Tabla Tecnica Base'!$A$4:$A$10,0))/1000*CantidadPollos)</f>
        <v/>
      </c>
      <c r="I10" s="38" t="str">
        <f aca="false">IF(OR(G10="",H10=""),"",G10-H10)</f>
        <v/>
      </c>
      <c r="J10" s="55" t="str">
        <f aca="false">IF(OR(I10="",H10="",H10=0),"",I10/H10)</f>
        <v/>
      </c>
    </row>
    <row r="11" customFormat="false" ht="15" hidden="false" customHeight="false" outlineLevel="0" collapsed="false">
      <c r="A11" s="56"/>
      <c r="B11" s="41" t="str">
        <f aca="false">IF(A11="","",A11-FechaInicioLote+1)</f>
        <v/>
      </c>
      <c r="C11" s="41" t="str">
        <f aca="false">IF(A11="","",MIN(7,MAX(1,ROUNDUP(B11/7,0))))</f>
        <v/>
      </c>
      <c r="D11" s="53" t="str">
        <f aca="false">IF(A11="","",INDEX('Tabla Tecnica Base'!$B$4:$B$10,MATCH(C11,'Tabla Tecnica Base'!$A$4:$A$10,0)))</f>
        <v/>
      </c>
      <c r="E11" s="57"/>
      <c r="F11" s="57"/>
      <c r="G11" s="38" t="str">
        <f aca="false">IF(E11="","",E11-IF(F11="",0,F11))</f>
        <v/>
      </c>
      <c r="H11" s="38" t="str">
        <f aca="false">IF(A11="","",INDEX('Tabla Tecnica Base'!$E$4:$E$10,MATCH(C11,'Tabla Tecnica Base'!$A$4:$A$10,0))/1000*CantidadPollos)</f>
        <v/>
      </c>
      <c r="I11" s="38" t="str">
        <f aca="false">IF(OR(G11="",H11=""),"",G11-H11)</f>
        <v/>
      </c>
      <c r="J11" s="55" t="str">
        <f aca="false">IF(OR(I11="",H11="",H11=0),"",I11/H11)</f>
        <v/>
      </c>
    </row>
    <row r="12" customFormat="false" ht="15" hidden="false" customHeight="false" outlineLevel="0" collapsed="false">
      <c r="A12" s="56"/>
      <c r="B12" s="41" t="str">
        <f aca="false">IF(A12="","",A12-FechaInicioLote+1)</f>
        <v/>
      </c>
      <c r="C12" s="41" t="str">
        <f aca="false">IF(A12="","",MIN(7,MAX(1,ROUNDUP(B12/7,0))))</f>
        <v/>
      </c>
      <c r="D12" s="53" t="str">
        <f aca="false">IF(A12="","",INDEX('Tabla Tecnica Base'!$B$4:$B$10,MATCH(C12,'Tabla Tecnica Base'!$A$4:$A$10,0)))</f>
        <v/>
      </c>
      <c r="E12" s="57"/>
      <c r="F12" s="57"/>
      <c r="G12" s="38" t="str">
        <f aca="false">IF(E12="","",E12-IF(F12="",0,F12))</f>
        <v/>
      </c>
      <c r="H12" s="38" t="str">
        <f aca="false">IF(A12="","",INDEX('Tabla Tecnica Base'!$E$4:$E$10,MATCH(C12,'Tabla Tecnica Base'!$A$4:$A$10,0))/1000*CantidadPollos)</f>
        <v/>
      </c>
      <c r="I12" s="38" t="str">
        <f aca="false">IF(OR(G12="",H12=""),"",G12-H12)</f>
        <v/>
      </c>
      <c r="J12" s="55" t="str">
        <f aca="false">IF(OR(I12="",H12="",H12=0),"",I12/H12)</f>
        <v/>
      </c>
    </row>
    <row r="13" customFormat="false" ht="15" hidden="false" customHeight="false" outlineLevel="0" collapsed="false">
      <c r="A13" s="56"/>
      <c r="B13" s="41" t="str">
        <f aca="false">IF(A13="","",A13-FechaInicioLote+1)</f>
        <v/>
      </c>
      <c r="C13" s="41" t="str">
        <f aca="false">IF(A13="","",MIN(7,MAX(1,ROUNDUP(B13/7,0))))</f>
        <v/>
      </c>
      <c r="D13" s="53" t="str">
        <f aca="false">IF(A13="","",INDEX('Tabla Tecnica Base'!$B$4:$B$10,MATCH(C13,'Tabla Tecnica Base'!$A$4:$A$10,0)))</f>
        <v/>
      </c>
      <c r="E13" s="57"/>
      <c r="F13" s="57"/>
      <c r="G13" s="38" t="str">
        <f aca="false">IF(E13="","",E13-IF(F13="",0,F13))</f>
        <v/>
      </c>
      <c r="H13" s="38" t="str">
        <f aca="false">IF(A13="","",INDEX('Tabla Tecnica Base'!$E$4:$E$10,MATCH(C13,'Tabla Tecnica Base'!$A$4:$A$10,0))/1000*CantidadPollos)</f>
        <v/>
      </c>
      <c r="I13" s="38" t="str">
        <f aca="false">IF(OR(G13="",H13=""),"",G13-H13)</f>
        <v/>
      </c>
      <c r="J13" s="55" t="str">
        <f aca="false">IF(OR(I13="",H13="",H13=0),"",I13/H13)</f>
        <v/>
      </c>
    </row>
    <row r="14" customFormat="false" ht="15" hidden="false" customHeight="false" outlineLevel="0" collapsed="false">
      <c r="A14" s="56"/>
      <c r="B14" s="41" t="str">
        <f aca="false">IF(A14="","",A14-FechaInicioLote+1)</f>
        <v/>
      </c>
      <c r="C14" s="41" t="str">
        <f aca="false">IF(A14="","",MIN(7,MAX(1,ROUNDUP(B14/7,0))))</f>
        <v/>
      </c>
      <c r="D14" s="53" t="str">
        <f aca="false">IF(A14="","",INDEX('Tabla Tecnica Base'!$B$4:$B$10,MATCH(C14,'Tabla Tecnica Base'!$A$4:$A$10,0)))</f>
        <v/>
      </c>
      <c r="E14" s="57"/>
      <c r="F14" s="57"/>
      <c r="G14" s="38" t="str">
        <f aca="false">IF(E14="","",E14-IF(F14="",0,F14))</f>
        <v/>
      </c>
      <c r="H14" s="38" t="str">
        <f aca="false">IF(A14="","",INDEX('Tabla Tecnica Base'!$E$4:$E$10,MATCH(C14,'Tabla Tecnica Base'!$A$4:$A$10,0))/1000*CantidadPollos)</f>
        <v/>
      </c>
      <c r="I14" s="38" t="str">
        <f aca="false">IF(OR(G14="",H14=""),"",G14-H14)</f>
        <v/>
      </c>
      <c r="J14" s="55" t="str">
        <f aca="false">IF(OR(I14="",H14="",H14=0),"",I14/H14)</f>
        <v/>
      </c>
    </row>
    <row r="15" customFormat="false" ht="15" hidden="false" customHeight="false" outlineLevel="0" collapsed="false">
      <c r="A15" s="56"/>
      <c r="B15" s="41" t="str">
        <f aca="false">IF(A15="","",A15-FechaInicioLote+1)</f>
        <v/>
      </c>
      <c r="C15" s="41" t="str">
        <f aca="false">IF(A15="","",MIN(7,MAX(1,ROUNDUP(B15/7,0))))</f>
        <v/>
      </c>
      <c r="D15" s="53" t="str">
        <f aca="false">IF(A15="","",INDEX('Tabla Tecnica Base'!$B$4:$B$10,MATCH(C15,'Tabla Tecnica Base'!$A$4:$A$10,0)))</f>
        <v/>
      </c>
      <c r="E15" s="57"/>
      <c r="F15" s="57"/>
      <c r="G15" s="38" t="str">
        <f aca="false">IF(E15="","",E15-IF(F15="",0,F15))</f>
        <v/>
      </c>
      <c r="H15" s="38" t="str">
        <f aca="false">IF(A15="","",INDEX('Tabla Tecnica Base'!$E$4:$E$10,MATCH(C15,'Tabla Tecnica Base'!$A$4:$A$10,0))/1000*CantidadPollos)</f>
        <v/>
      </c>
      <c r="I15" s="38" t="str">
        <f aca="false">IF(OR(G15="",H15=""),"",G15-H15)</f>
        <v/>
      </c>
      <c r="J15" s="55" t="str">
        <f aca="false">IF(OR(I15="",H15="",H15=0),"",I15/H15)</f>
        <v/>
      </c>
    </row>
    <row r="16" customFormat="false" ht="15" hidden="false" customHeight="false" outlineLevel="0" collapsed="false">
      <c r="A16" s="56"/>
      <c r="B16" s="41" t="str">
        <f aca="false">IF(A16="","",A16-FechaInicioLote+1)</f>
        <v/>
      </c>
      <c r="C16" s="41" t="str">
        <f aca="false">IF(A16="","",MIN(7,MAX(1,ROUNDUP(B16/7,0))))</f>
        <v/>
      </c>
      <c r="D16" s="53" t="str">
        <f aca="false">IF(A16="","",INDEX('Tabla Tecnica Base'!$B$4:$B$10,MATCH(C16,'Tabla Tecnica Base'!$A$4:$A$10,0)))</f>
        <v/>
      </c>
      <c r="E16" s="57"/>
      <c r="F16" s="57"/>
      <c r="G16" s="38" t="str">
        <f aca="false">IF(E16="","",E16-IF(F16="",0,F16))</f>
        <v/>
      </c>
      <c r="H16" s="38" t="str">
        <f aca="false">IF(A16="","",INDEX('Tabla Tecnica Base'!$E$4:$E$10,MATCH(C16,'Tabla Tecnica Base'!$A$4:$A$10,0))/1000*CantidadPollos)</f>
        <v/>
      </c>
      <c r="I16" s="38" t="str">
        <f aca="false">IF(OR(G16="",H16=""),"",G16-H16)</f>
        <v/>
      </c>
      <c r="J16" s="55" t="str">
        <f aca="false">IF(OR(I16="",H16="",H16=0),"",I16/H16)</f>
        <v/>
      </c>
    </row>
    <row r="17" customFormat="false" ht="15" hidden="false" customHeight="false" outlineLevel="0" collapsed="false">
      <c r="A17" s="56"/>
      <c r="B17" s="41" t="str">
        <f aca="false">IF(A17="","",A17-FechaInicioLote+1)</f>
        <v/>
      </c>
      <c r="C17" s="41" t="str">
        <f aca="false">IF(A17="","",MIN(7,MAX(1,ROUNDUP(B17/7,0))))</f>
        <v/>
      </c>
      <c r="D17" s="53" t="str">
        <f aca="false">IF(A17="","",INDEX('Tabla Tecnica Base'!$B$4:$B$10,MATCH(C17,'Tabla Tecnica Base'!$A$4:$A$10,0)))</f>
        <v/>
      </c>
      <c r="E17" s="57"/>
      <c r="F17" s="57"/>
      <c r="G17" s="38" t="str">
        <f aca="false">IF(E17="","",E17-IF(F17="",0,F17))</f>
        <v/>
      </c>
      <c r="H17" s="38" t="str">
        <f aca="false">IF(A17="","",INDEX('Tabla Tecnica Base'!$E$4:$E$10,MATCH(C17,'Tabla Tecnica Base'!$A$4:$A$10,0))/1000*CantidadPollos)</f>
        <v/>
      </c>
      <c r="I17" s="38" t="str">
        <f aca="false">IF(OR(G17="",H17=""),"",G17-H17)</f>
        <v/>
      </c>
      <c r="J17" s="55" t="str">
        <f aca="false">IF(OR(I17="",H17="",H17=0),"",I17/H17)</f>
        <v/>
      </c>
    </row>
    <row r="18" customFormat="false" ht="15" hidden="false" customHeight="false" outlineLevel="0" collapsed="false">
      <c r="A18" s="56"/>
      <c r="B18" s="41" t="str">
        <f aca="false">IF(A18="","",A18-FechaInicioLote+1)</f>
        <v/>
      </c>
      <c r="C18" s="41" t="str">
        <f aca="false">IF(A18="","",MIN(7,MAX(1,ROUNDUP(B18/7,0))))</f>
        <v/>
      </c>
      <c r="D18" s="53" t="str">
        <f aca="false">IF(A18="","",INDEX('Tabla Tecnica Base'!$B$4:$B$10,MATCH(C18,'Tabla Tecnica Base'!$A$4:$A$10,0)))</f>
        <v/>
      </c>
      <c r="E18" s="57"/>
      <c r="F18" s="57"/>
      <c r="G18" s="38" t="str">
        <f aca="false">IF(E18="","",E18-IF(F18="",0,F18))</f>
        <v/>
      </c>
      <c r="H18" s="38" t="str">
        <f aca="false">IF(A18="","",INDEX('Tabla Tecnica Base'!$E$4:$E$10,MATCH(C18,'Tabla Tecnica Base'!$A$4:$A$10,0))/1000*CantidadPollos)</f>
        <v/>
      </c>
      <c r="I18" s="38" t="str">
        <f aca="false">IF(OR(G18="",H18=""),"",G18-H18)</f>
        <v/>
      </c>
      <c r="J18" s="55" t="str">
        <f aca="false">IF(OR(I18="",H18="",H18=0),"",I18/H18)</f>
        <v/>
      </c>
    </row>
    <row r="19" customFormat="false" ht="15" hidden="false" customHeight="false" outlineLevel="0" collapsed="false">
      <c r="A19" s="56"/>
      <c r="B19" s="41" t="str">
        <f aca="false">IF(A19="","",A19-FechaInicioLote+1)</f>
        <v/>
      </c>
      <c r="C19" s="41" t="str">
        <f aca="false">IF(A19="","",MIN(7,MAX(1,ROUNDUP(B19/7,0))))</f>
        <v/>
      </c>
      <c r="D19" s="53" t="str">
        <f aca="false">IF(A19="","",INDEX('Tabla Tecnica Base'!$B$4:$B$10,MATCH(C19,'Tabla Tecnica Base'!$A$4:$A$10,0)))</f>
        <v/>
      </c>
      <c r="E19" s="57"/>
      <c r="F19" s="57"/>
      <c r="G19" s="38" t="str">
        <f aca="false">IF(E19="","",E19-IF(F19="",0,F19))</f>
        <v/>
      </c>
      <c r="H19" s="38" t="str">
        <f aca="false">IF(A19="","",INDEX('Tabla Tecnica Base'!$E$4:$E$10,MATCH(C19,'Tabla Tecnica Base'!$A$4:$A$10,0))/1000*CantidadPollos)</f>
        <v/>
      </c>
      <c r="I19" s="38" t="str">
        <f aca="false">IF(OR(G19="",H19=""),"",G19-H19)</f>
        <v/>
      </c>
      <c r="J19" s="55" t="str">
        <f aca="false">IF(OR(I19="",H19="",H19=0),"",I19/H19)</f>
        <v/>
      </c>
    </row>
    <row r="20" customFormat="false" ht="15" hidden="false" customHeight="false" outlineLevel="0" collapsed="false">
      <c r="A20" s="56"/>
      <c r="B20" s="41" t="str">
        <f aca="false">IF(A20="","",A20-FechaInicioLote+1)</f>
        <v/>
      </c>
      <c r="C20" s="41" t="str">
        <f aca="false">IF(A20="","",MIN(7,MAX(1,ROUNDUP(B20/7,0))))</f>
        <v/>
      </c>
      <c r="D20" s="53" t="str">
        <f aca="false">IF(A20="","",INDEX('Tabla Tecnica Base'!$B$4:$B$10,MATCH(C20,'Tabla Tecnica Base'!$A$4:$A$10,0)))</f>
        <v/>
      </c>
      <c r="E20" s="57"/>
      <c r="F20" s="57"/>
      <c r="G20" s="38" t="str">
        <f aca="false">IF(E20="","",E20-IF(F20="",0,F20))</f>
        <v/>
      </c>
      <c r="H20" s="38" t="str">
        <f aca="false">IF(A20="","",INDEX('Tabla Tecnica Base'!$E$4:$E$10,MATCH(C20,'Tabla Tecnica Base'!$A$4:$A$10,0))/1000*CantidadPollos)</f>
        <v/>
      </c>
      <c r="I20" s="38" t="str">
        <f aca="false">IF(OR(G20="",H20=""),"",G20-H20)</f>
        <v/>
      </c>
      <c r="J20" s="55" t="str">
        <f aca="false">IF(OR(I20="",H20="",H20=0),"",I20/H20)</f>
        <v/>
      </c>
    </row>
    <row r="21" customFormat="false" ht="15" hidden="false" customHeight="false" outlineLevel="0" collapsed="false">
      <c r="A21" s="56"/>
      <c r="B21" s="41" t="str">
        <f aca="false">IF(A21="","",A21-FechaInicioLote+1)</f>
        <v/>
      </c>
      <c r="C21" s="41" t="str">
        <f aca="false">IF(A21="","",MIN(7,MAX(1,ROUNDUP(B21/7,0))))</f>
        <v/>
      </c>
      <c r="D21" s="53" t="str">
        <f aca="false">IF(A21="","",INDEX('Tabla Tecnica Base'!$B$4:$B$10,MATCH(C21,'Tabla Tecnica Base'!$A$4:$A$10,0)))</f>
        <v/>
      </c>
      <c r="E21" s="57"/>
      <c r="F21" s="57"/>
      <c r="G21" s="38" t="str">
        <f aca="false">IF(E21="","",E21-IF(F21="",0,F21))</f>
        <v/>
      </c>
      <c r="H21" s="38" t="str">
        <f aca="false">IF(A21="","",INDEX('Tabla Tecnica Base'!$E$4:$E$10,MATCH(C21,'Tabla Tecnica Base'!$A$4:$A$10,0))/1000*CantidadPollos)</f>
        <v/>
      </c>
      <c r="I21" s="38" t="str">
        <f aca="false">IF(OR(G21="",H21=""),"",G21-H21)</f>
        <v/>
      </c>
      <c r="J21" s="55" t="str">
        <f aca="false">IF(OR(I21="",H21="",H21=0),"",I21/H21)</f>
        <v/>
      </c>
    </row>
    <row r="22" customFormat="false" ht="15" hidden="false" customHeight="false" outlineLevel="0" collapsed="false">
      <c r="A22" s="56"/>
      <c r="B22" s="41" t="str">
        <f aca="false">IF(A22="","",A22-FechaInicioLote+1)</f>
        <v/>
      </c>
      <c r="C22" s="41" t="str">
        <f aca="false">IF(A22="","",MIN(7,MAX(1,ROUNDUP(B22/7,0))))</f>
        <v/>
      </c>
      <c r="D22" s="53" t="str">
        <f aca="false">IF(A22="","",INDEX('Tabla Tecnica Base'!$B$4:$B$10,MATCH(C22,'Tabla Tecnica Base'!$A$4:$A$10,0)))</f>
        <v/>
      </c>
      <c r="E22" s="57"/>
      <c r="F22" s="57"/>
      <c r="G22" s="38" t="str">
        <f aca="false">IF(E22="","",E22-IF(F22="",0,F22))</f>
        <v/>
      </c>
      <c r="H22" s="38" t="str">
        <f aca="false">IF(A22="","",INDEX('Tabla Tecnica Base'!$E$4:$E$10,MATCH(C22,'Tabla Tecnica Base'!$A$4:$A$10,0))/1000*CantidadPollos)</f>
        <v/>
      </c>
      <c r="I22" s="38" t="str">
        <f aca="false">IF(OR(G22="",H22=""),"",G22-H22)</f>
        <v/>
      </c>
      <c r="J22" s="55" t="str">
        <f aca="false">IF(OR(I22="",H22="",H22=0),"",I22/H22)</f>
        <v/>
      </c>
    </row>
    <row r="23" customFormat="false" ht="15" hidden="false" customHeight="false" outlineLevel="0" collapsed="false">
      <c r="A23" s="56"/>
      <c r="B23" s="41" t="str">
        <f aca="false">IF(A23="","",A23-FechaInicioLote+1)</f>
        <v/>
      </c>
      <c r="C23" s="41" t="str">
        <f aca="false">IF(A23="","",MIN(7,MAX(1,ROUNDUP(B23/7,0))))</f>
        <v/>
      </c>
      <c r="D23" s="53" t="str">
        <f aca="false">IF(A23="","",INDEX('Tabla Tecnica Base'!$B$4:$B$10,MATCH(C23,'Tabla Tecnica Base'!$A$4:$A$10,0)))</f>
        <v/>
      </c>
      <c r="E23" s="57"/>
      <c r="F23" s="57"/>
      <c r="G23" s="38" t="str">
        <f aca="false">IF(E23="","",E23-IF(F23="",0,F23))</f>
        <v/>
      </c>
      <c r="H23" s="38" t="str">
        <f aca="false">IF(A23="","",INDEX('Tabla Tecnica Base'!$E$4:$E$10,MATCH(C23,'Tabla Tecnica Base'!$A$4:$A$10,0))/1000*CantidadPollos)</f>
        <v/>
      </c>
      <c r="I23" s="38" t="str">
        <f aca="false">IF(OR(G23="",H23=""),"",G23-H23)</f>
        <v/>
      </c>
      <c r="J23" s="55" t="str">
        <f aca="false">IF(OR(I23="",H23="",H23=0),"",I23/H23)</f>
        <v/>
      </c>
    </row>
    <row r="24" customFormat="false" ht="15" hidden="false" customHeight="false" outlineLevel="0" collapsed="false">
      <c r="A24" s="56"/>
      <c r="B24" s="41" t="str">
        <f aca="false">IF(A24="","",A24-FechaInicioLote+1)</f>
        <v/>
      </c>
      <c r="C24" s="41" t="str">
        <f aca="false">IF(A24="","",MIN(7,MAX(1,ROUNDUP(B24/7,0))))</f>
        <v/>
      </c>
      <c r="D24" s="53" t="str">
        <f aca="false">IF(A24="","",INDEX('Tabla Tecnica Base'!$B$4:$B$10,MATCH(C24,'Tabla Tecnica Base'!$A$4:$A$10,0)))</f>
        <v/>
      </c>
      <c r="E24" s="57"/>
      <c r="F24" s="57"/>
      <c r="G24" s="38" t="str">
        <f aca="false">IF(E24="","",E24-IF(F24="",0,F24))</f>
        <v/>
      </c>
      <c r="H24" s="38" t="str">
        <f aca="false">IF(A24="","",INDEX('Tabla Tecnica Base'!$E$4:$E$10,MATCH(C24,'Tabla Tecnica Base'!$A$4:$A$10,0))/1000*CantidadPollos)</f>
        <v/>
      </c>
      <c r="I24" s="38" t="str">
        <f aca="false">IF(OR(G24="",H24=""),"",G24-H24)</f>
        <v/>
      </c>
      <c r="J24" s="55" t="str">
        <f aca="false">IF(OR(I24="",H24="",H24=0),"",I24/H24)</f>
        <v/>
      </c>
    </row>
    <row r="25" customFormat="false" ht="15" hidden="false" customHeight="false" outlineLevel="0" collapsed="false">
      <c r="A25" s="56"/>
      <c r="B25" s="41" t="str">
        <f aca="false">IF(A25="","",A25-FechaInicioLote+1)</f>
        <v/>
      </c>
      <c r="C25" s="41" t="str">
        <f aca="false">IF(A25="","",MIN(7,MAX(1,ROUNDUP(B25/7,0))))</f>
        <v/>
      </c>
      <c r="D25" s="53" t="str">
        <f aca="false">IF(A25="","",INDEX('Tabla Tecnica Base'!$B$4:$B$10,MATCH(C25,'Tabla Tecnica Base'!$A$4:$A$10,0)))</f>
        <v/>
      </c>
      <c r="E25" s="57"/>
      <c r="F25" s="57"/>
      <c r="G25" s="38" t="str">
        <f aca="false">IF(E25="","",E25-IF(F25="",0,F25))</f>
        <v/>
      </c>
      <c r="H25" s="38" t="str">
        <f aca="false">IF(A25="","",INDEX('Tabla Tecnica Base'!$E$4:$E$10,MATCH(C25,'Tabla Tecnica Base'!$A$4:$A$10,0))/1000*CantidadPollos)</f>
        <v/>
      </c>
      <c r="I25" s="38" t="str">
        <f aca="false">IF(OR(G25="",H25=""),"",G25-H25)</f>
        <v/>
      </c>
      <c r="J25" s="55" t="str">
        <f aca="false">IF(OR(I25="",H25="",H25=0),"",I25/H25)</f>
        <v/>
      </c>
    </row>
    <row r="26" customFormat="false" ht="15" hidden="false" customHeight="false" outlineLevel="0" collapsed="false">
      <c r="A26" s="56"/>
      <c r="B26" s="41" t="str">
        <f aca="false">IF(A26="","",A26-FechaInicioLote+1)</f>
        <v/>
      </c>
      <c r="C26" s="41" t="str">
        <f aca="false">IF(A26="","",MIN(7,MAX(1,ROUNDUP(B26/7,0))))</f>
        <v/>
      </c>
      <c r="D26" s="53" t="str">
        <f aca="false">IF(A26="","",INDEX('Tabla Tecnica Base'!$B$4:$B$10,MATCH(C26,'Tabla Tecnica Base'!$A$4:$A$10,0)))</f>
        <v/>
      </c>
      <c r="E26" s="57"/>
      <c r="F26" s="57"/>
      <c r="G26" s="38" t="str">
        <f aca="false">IF(E26="","",E26-IF(F26="",0,F26))</f>
        <v/>
      </c>
      <c r="H26" s="38" t="str">
        <f aca="false">IF(A26="","",INDEX('Tabla Tecnica Base'!$E$4:$E$10,MATCH(C26,'Tabla Tecnica Base'!$A$4:$A$10,0))/1000*CantidadPollos)</f>
        <v/>
      </c>
      <c r="I26" s="38" t="str">
        <f aca="false">IF(OR(G26="",H26=""),"",G26-H26)</f>
        <v/>
      </c>
      <c r="J26" s="55" t="str">
        <f aca="false">IF(OR(I26="",H26="",H26=0),"",I26/H26)</f>
        <v/>
      </c>
    </row>
    <row r="27" customFormat="false" ht="15" hidden="false" customHeight="false" outlineLevel="0" collapsed="false">
      <c r="A27" s="56"/>
      <c r="B27" s="41" t="str">
        <f aca="false">IF(A27="","",A27-FechaInicioLote+1)</f>
        <v/>
      </c>
      <c r="C27" s="41" t="str">
        <f aca="false">IF(A27="","",MIN(7,MAX(1,ROUNDUP(B27/7,0))))</f>
        <v/>
      </c>
      <c r="D27" s="53" t="str">
        <f aca="false">IF(A27="","",INDEX('Tabla Tecnica Base'!$B$4:$B$10,MATCH(C27,'Tabla Tecnica Base'!$A$4:$A$10,0)))</f>
        <v/>
      </c>
      <c r="E27" s="57"/>
      <c r="F27" s="57"/>
      <c r="G27" s="38" t="str">
        <f aca="false">IF(E27="","",E27-IF(F27="",0,F27))</f>
        <v/>
      </c>
      <c r="H27" s="38" t="str">
        <f aca="false">IF(A27="","",INDEX('Tabla Tecnica Base'!$E$4:$E$10,MATCH(C27,'Tabla Tecnica Base'!$A$4:$A$10,0))/1000*CantidadPollos)</f>
        <v/>
      </c>
      <c r="I27" s="38" t="str">
        <f aca="false">IF(OR(G27="",H27=""),"",G27-H27)</f>
        <v/>
      </c>
      <c r="J27" s="55" t="str">
        <f aca="false">IF(OR(I27="",H27="",H27=0),"",I27/H27)</f>
        <v/>
      </c>
    </row>
    <row r="28" customFormat="false" ht="15" hidden="false" customHeight="false" outlineLevel="0" collapsed="false">
      <c r="A28" s="56"/>
      <c r="B28" s="41" t="str">
        <f aca="false">IF(A28="","",A28-FechaInicioLote+1)</f>
        <v/>
      </c>
      <c r="C28" s="41" t="str">
        <f aca="false">IF(A28="","",MIN(7,MAX(1,ROUNDUP(B28/7,0))))</f>
        <v/>
      </c>
      <c r="D28" s="53" t="str">
        <f aca="false">IF(A28="","",INDEX('Tabla Tecnica Base'!$B$4:$B$10,MATCH(C28,'Tabla Tecnica Base'!$A$4:$A$10,0)))</f>
        <v/>
      </c>
      <c r="E28" s="57"/>
      <c r="F28" s="57"/>
      <c r="G28" s="38" t="str">
        <f aca="false">IF(E28="","",E28-IF(F28="",0,F28))</f>
        <v/>
      </c>
      <c r="H28" s="38" t="str">
        <f aca="false">IF(A28="","",INDEX('Tabla Tecnica Base'!$E$4:$E$10,MATCH(C28,'Tabla Tecnica Base'!$A$4:$A$10,0))/1000*CantidadPollos)</f>
        <v/>
      </c>
      <c r="I28" s="38" t="str">
        <f aca="false">IF(OR(G28="",H28=""),"",G28-H28)</f>
        <v/>
      </c>
      <c r="J28" s="55" t="str">
        <f aca="false">IF(OR(I28="",H28="",H28=0),"",I28/H28)</f>
        <v/>
      </c>
    </row>
    <row r="29" customFormat="false" ht="15" hidden="false" customHeight="false" outlineLevel="0" collapsed="false">
      <c r="A29" s="56"/>
      <c r="B29" s="41" t="str">
        <f aca="false">IF(A29="","",A29-FechaInicioLote+1)</f>
        <v/>
      </c>
      <c r="C29" s="41" t="str">
        <f aca="false">IF(A29="","",MIN(7,MAX(1,ROUNDUP(B29/7,0))))</f>
        <v/>
      </c>
      <c r="D29" s="53" t="str">
        <f aca="false">IF(A29="","",INDEX('Tabla Tecnica Base'!$B$4:$B$10,MATCH(C29,'Tabla Tecnica Base'!$A$4:$A$10,0)))</f>
        <v/>
      </c>
      <c r="E29" s="57"/>
      <c r="F29" s="57"/>
      <c r="G29" s="38" t="str">
        <f aca="false">IF(E29="","",E29-IF(F29="",0,F29))</f>
        <v/>
      </c>
      <c r="H29" s="38" t="str">
        <f aca="false">IF(A29="","",INDEX('Tabla Tecnica Base'!$E$4:$E$10,MATCH(C29,'Tabla Tecnica Base'!$A$4:$A$10,0))/1000*CantidadPollos)</f>
        <v/>
      </c>
      <c r="I29" s="38" t="str">
        <f aca="false">IF(OR(G29="",H29=""),"",G29-H29)</f>
        <v/>
      </c>
      <c r="J29" s="55" t="str">
        <f aca="false">IF(OR(I29="",H29="",H29=0),"",I29/H29)</f>
        <v/>
      </c>
    </row>
    <row r="30" customFormat="false" ht="15" hidden="false" customHeight="false" outlineLevel="0" collapsed="false">
      <c r="A30" s="56"/>
      <c r="B30" s="41" t="str">
        <f aca="false">IF(A30="","",A30-FechaInicioLote+1)</f>
        <v/>
      </c>
      <c r="C30" s="41" t="str">
        <f aca="false">IF(A30="","",MIN(7,MAX(1,ROUNDUP(B30/7,0))))</f>
        <v/>
      </c>
      <c r="D30" s="53" t="str">
        <f aca="false">IF(A30="","",INDEX('Tabla Tecnica Base'!$B$4:$B$10,MATCH(C30,'Tabla Tecnica Base'!$A$4:$A$10,0)))</f>
        <v/>
      </c>
      <c r="E30" s="57"/>
      <c r="F30" s="57"/>
      <c r="G30" s="38" t="str">
        <f aca="false">IF(E30="","",E30-IF(F30="",0,F30))</f>
        <v/>
      </c>
      <c r="H30" s="38" t="str">
        <f aca="false">IF(A30="","",INDEX('Tabla Tecnica Base'!$E$4:$E$10,MATCH(C30,'Tabla Tecnica Base'!$A$4:$A$10,0))/1000*CantidadPollos)</f>
        <v/>
      </c>
      <c r="I30" s="38" t="str">
        <f aca="false">IF(OR(G30="",H30=""),"",G30-H30)</f>
        <v/>
      </c>
      <c r="J30" s="55" t="str">
        <f aca="false">IF(OR(I30="",H30="",H30=0),"",I30/H30)</f>
        <v/>
      </c>
    </row>
    <row r="31" customFormat="false" ht="15" hidden="false" customHeight="false" outlineLevel="0" collapsed="false">
      <c r="A31" s="56"/>
      <c r="B31" s="41" t="str">
        <f aca="false">IF(A31="","",A31-FechaInicioLote+1)</f>
        <v/>
      </c>
      <c r="C31" s="41" t="str">
        <f aca="false">IF(A31="","",MIN(7,MAX(1,ROUNDUP(B31/7,0))))</f>
        <v/>
      </c>
      <c r="D31" s="53" t="str">
        <f aca="false">IF(A31="","",INDEX('Tabla Tecnica Base'!$B$4:$B$10,MATCH(C31,'Tabla Tecnica Base'!$A$4:$A$10,0)))</f>
        <v/>
      </c>
      <c r="E31" s="57"/>
      <c r="F31" s="57"/>
      <c r="G31" s="38" t="str">
        <f aca="false">IF(E31="","",E31-IF(F31="",0,F31))</f>
        <v/>
      </c>
      <c r="H31" s="38" t="str">
        <f aca="false">IF(A31="","",INDEX('Tabla Tecnica Base'!$E$4:$E$10,MATCH(C31,'Tabla Tecnica Base'!$A$4:$A$10,0))/1000*CantidadPollos)</f>
        <v/>
      </c>
      <c r="I31" s="38" t="str">
        <f aca="false">IF(OR(G31="",H31=""),"",G31-H31)</f>
        <v/>
      </c>
      <c r="J31" s="55" t="str">
        <f aca="false">IF(OR(I31="",H31="",H31=0),"",I31/H31)</f>
        <v/>
      </c>
    </row>
    <row r="32" customFormat="false" ht="15" hidden="false" customHeight="false" outlineLevel="0" collapsed="false">
      <c r="A32" s="56"/>
      <c r="B32" s="41" t="str">
        <f aca="false">IF(A32="","",A32-FechaInicioLote+1)</f>
        <v/>
      </c>
      <c r="C32" s="41" t="str">
        <f aca="false">IF(A32="","",MIN(7,MAX(1,ROUNDUP(B32/7,0))))</f>
        <v/>
      </c>
      <c r="D32" s="53" t="str">
        <f aca="false">IF(A32="","",INDEX('Tabla Tecnica Base'!$B$4:$B$10,MATCH(C32,'Tabla Tecnica Base'!$A$4:$A$10,0)))</f>
        <v/>
      </c>
      <c r="E32" s="57"/>
      <c r="F32" s="57"/>
      <c r="G32" s="38" t="str">
        <f aca="false">IF(E32="","",E32-IF(F32="",0,F32))</f>
        <v/>
      </c>
      <c r="H32" s="38" t="str">
        <f aca="false">IF(A32="","",INDEX('Tabla Tecnica Base'!$E$4:$E$10,MATCH(C32,'Tabla Tecnica Base'!$A$4:$A$10,0))/1000*CantidadPollos)</f>
        <v/>
      </c>
      <c r="I32" s="38" t="str">
        <f aca="false">IF(OR(G32="",H32=""),"",G32-H32)</f>
        <v/>
      </c>
      <c r="J32" s="55" t="str">
        <f aca="false">IF(OR(I32="",H32="",H32=0),"",I32/H32)</f>
        <v/>
      </c>
    </row>
    <row r="33" customFormat="false" ht="15" hidden="false" customHeight="false" outlineLevel="0" collapsed="false">
      <c r="A33" s="56"/>
      <c r="B33" s="41" t="str">
        <f aca="false">IF(A33="","",A33-FechaInicioLote+1)</f>
        <v/>
      </c>
      <c r="C33" s="41" t="str">
        <f aca="false">IF(A33="","",MIN(7,MAX(1,ROUNDUP(B33/7,0))))</f>
        <v/>
      </c>
      <c r="D33" s="53" t="str">
        <f aca="false">IF(A33="","",INDEX('Tabla Tecnica Base'!$B$4:$B$10,MATCH(C33,'Tabla Tecnica Base'!$A$4:$A$10,0)))</f>
        <v/>
      </c>
      <c r="E33" s="57"/>
      <c r="F33" s="57"/>
      <c r="G33" s="38" t="str">
        <f aca="false">IF(E33="","",E33-IF(F33="",0,F33))</f>
        <v/>
      </c>
      <c r="H33" s="38" t="str">
        <f aca="false">IF(A33="","",INDEX('Tabla Tecnica Base'!$E$4:$E$10,MATCH(C33,'Tabla Tecnica Base'!$A$4:$A$10,0))/1000*CantidadPollos)</f>
        <v/>
      </c>
      <c r="I33" s="38" t="str">
        <f aca="false">IF(OR(G33="",H33=""),"",G33-H33)</f>
        <v/>
      </c>
      <c r="J33" s="55" t="str">
        <f aca="false">IF(OR(I33="",H33="",H33=0),"",I33/H33)</f>
        <v/>
      </c>
    </row>
    <row r="34" customFormat="false" ht="15" hidden="false" customHeight="false" outlineLevel="0" collapsed="false">
      <c r="A34" s="56"/>
      <c r="B34" s="41" t="str">
        <f aca="false">IF(A34="","",A34-FechaInicioLote+1)</f>
        <v/>
      </c>
      <c r="C34" s="41" t="str">
        <f aca="false">IF(A34="","",MIN(7,MAX(1,ROUNDUP(B34/7,0))))</f>
        <v/>
      </c>
      <c r="D34" s="53" t="str">
        <f aca="false">IF(A34="","",INDEX('Tabla Tecnica Base'!$B$4:$B$10,MATCH(C34,'Tabla Tecnica Base'!$A$4:$A$10,0)))</f>
        <v/>
      </c>
      <c r="E34" s="57"/>
      <c r="F34" s="57"/>
      <c r="G34" s="38" t="str">
        <f aca="false">IF(E34="","",E34-IF(F34="",0,F34))</f>
        <v/>
      </c>
      <c r="H34" s="38" t="str">
        <f aca="false">IF(A34="","",INDEX('Tabla Tecnica Base'!$E$4:$E$10,MATCH(C34,'Tabla Tecnica Base'!$A$4:$A$10,0))/1000*CantidadPollos)</f>
        <v/>
      </c>
      <c r="I34" s="38" t="str">
        <f aca="false">IF(OR(G34="",H34=""),"",G34-H34)</f>
        <v/>
      </c>
      <c r="J34" s="55" t="str">
        <f aca="false">IF(OR(I34="",H34="",H34=0),"",I34/H34)</f>
        <v/>
      </c>
    </row>
    <row r="35" customFormat="false" ht="15" hidden="false" customHeight="false" outlineLevel="0" collapsed="false">
      <c r="A35" s="56"/>
      <c r="B35" s="41" t="str">
        <f aca="false">IF(A35="","",A35-FechaInicioLote+1)</f>
        <v/>
      </c>
      <c r="C35" s="41" t="str">
        <f aca="false">IF(A35="","",MIN(7,MAX(1,ROUNDUP(B35/7,0))))</f>
        <v/>
      </c>
      <c r="D35" s="53" t="str">
        <f aca="false">IF(A35="","",INDEX('Tabla Tecnica Base'!$B$4:$B$10,MATCH(C35,'Tabla Tecnica Base'!$A$4:$A$10,0)))</f>
        <v/>
      </c>
      <c r="E35" s="57"/>
      <c r="F35" s="57"/>
      <c r="G35" s="38" t="str">
        <f aca="false">IF(E35="","",E35-IF(F35="",0,F35))</f>
        <v/>
      </c>
      <c r="H35" s="38" t="str">
        <f aca="false">IF(A35="","",INDEX('Tabla Tecnica Base'!$E$4:$E$10,MATCH(C35,'Tabla Tecnica Base'!$A$4:$A$10,0))/1000*CantidadPollos)</f>
        <v/>
      </c>
      <c r="I35" s="38" t="str">
        <f aca="false">IF(OR(G35="",H35=""),"",G35-H35)</f>
        <v/>
      </c>
      <c r="J35" s="55" t="str">
        <f aca="false">IF(OR(I35="",H35="",H35=0),"",I35/H35)</f>
        <v/>
      </c>
    </row>
    <row r="36" customFormat="false" ht="15" hidden="false" customHeight="false" outlineLevel="0" collapsed="false">
      <c r="A36" s="56"/>
      <c r="B36" s="41" t="str">
        <f aca="false">IF(A36="","",A36-FechaInicioLote+1)</f>
        <v/>
      </c>
      <c r="C36" s="41" t="str">
        <f aca="false">IF(A36="","",MIN(7,MAX(1,ROUNDUP(B36/7,0))))</f>
        <v/>
      </c>
      <c r="D36" s="53" t="str">
        <f aca="false">IF(A36="","",INDEX('Tabla Tecnica Base'!$B$4:$B$10,MATCH(C36,'Tabla Tecnica Base'!$A$4:$A$10,0)))</f>
        <v/>
      </c>
      <c r="E36" s="57"/>
      <c r="F36" s="57"/>
      <c r="G36" s="38" t="str">
        <f aca="false">IF(E36="","",E36-IF(F36="",0,F36))</f>
        <v/>
      </c>
      <c r="H36" s="38" t="str">
        <f aca="false">IF(A36="","",INDEX('Tabla Tecnica Base'!$E$4:$E$10,MATCH(C36,'Tabla Tecnica Base'!$A$4:$A$10,0))/1000*CantidadPollos)</f>
        <v/>
      </c>
      <c r="I36" s="38" t="str">
        <f aca="false">IF(OR(G36="",H36=""),"",G36-H36)</f>
        <v/>
      </c>
      <c r="J36" s="55" t="str">
        <f aca="false">IF(OR(I36="",H36="",H36=0),"",I36/H36)</f>
        <v/>
      </c>
    </row>
    <row r="37" customFormat="false" ht="15" hidden="false" customHeight="false" outlineLevel="0" collapsed="false">
      <c r="A37" s="56"/>
      <c r="B37" s="41" t="str">
        <f aca="false">IF(A37="","",A37-FechaInicioLote+1)</f>
        <v/>
      </c>
      <c r="C37" s="41" t="str">
        <f aca="false">IF(A37="","",MIN(7,MAX(1,ROUNDUP(B37/7,0))))</f>
        <v/>
      </c>
      <c r="D37" s="53" t="str">
        <f aca="false">IF(A37="","",INDEX('Tabla Tecnica Base'!$B$4:$B$10,MATCH(C37,'Tabla Tecnica Base'!$A$4:$A$10,0)))</f>
        <v/>
      </c>
      <c r="E37" s="57"/>
      <c r="F37" s="57"/>
      <c r="G37" s="38" t="str">
        <f aca="false">IF(E37="","",E37-IF(F37="",0,F37))</f>
        <v/>
      </c>
      <c r="H37" s="38" t="str">
        <f aca="false">IF(A37="","",INDEX('Tabla Tecnica Base'!$E$4:$E$10,MATCH(C37,'Tabla Tecnica Base'!$A$4:$A$10,0))/1000*CantidadPollos)</f>
        <v/>
      </c>
      <c r="I37" s="38" t="str">
        <f aca="false">IF(OR(G37="",H37=""),"",G37-H37)</f>
        <v/>
      </c>
      <c r="J37" s="55" t="str">
        <f aca="false">IF(OR(I37="",H37="",H37=0),"",I37/H37)</f>
        <v/>
      </c>
    </row>
    <row r="38" customFormat="false" ht="15" hidden="false" customHeight="false" outlineLevel="0" collapsed="false">
      <c r="A38" s="56"/>
      <c r="B38" s="41" t="str">
        <f aca="false">IF(A38="","",A38-FechaInicioLote+1)</f>
        <v/>
      </c>
      <c r="C38" s="41" t="str">
        <f aca="false">IF(A38="","",MIN(7,MAX(1,ROUNDUP(B38/7,0))))</f>
        <v/>
      </c>
      <c r="D38" s="53" t="str">
        <f aca="false">IF(A38="","",INDEX('Tabla Tecnica Base'!$B$4:$B$10,MATCH(C38,'Tabla Tecnica Base'!$A$4:$A$10,0)))</f>
        <v/>
      </c>
      <c r="E38" s="57"/>
      <c r="F38" s="57"/>
      <c r="G38" s="38" t="str">
        <f aca="false">IF(E38="","",E38-IF(F38="",0,F38))</f>
        <v/>
      </c>
      <c r="H38" s="38" t="str">
        <f aca="false">IF(A38="","",INDEX('Tabla Tecnica Base'!$E$4:$E$10,MATCH(C38,'Tabla Tecnica Base'!$A$4:$A$10,0))/1000*CantidadPollos)</f>
        <v/>
      </c>
      <c r="I38" s="38" t="str">
        <f aca="false">IF(OR(G38="",H38=""),"",G38-H38)</f>
        <v/>
      </c>
      <c r="J38" s="55" t="str">
        <f aca="false">IF(OR(I38="",H38="",H38=0),"",I38/H38)</f>
        <v/>
      </c>
    </row>
    <row r="39" customFormat="false" ht="15" hidden="false" customHeight="false" outlineLevel="0" collapsed="false">
      <c r="A39" s="56"/>
      <c r="B39" s="41" t="str">
        <f aca="false">IF(A39="","",A39-FechaInicioLote+1)</f>
        <v/>
      </c>
      <c r="C39" s="41" t="str">
        <f aca="false">IF(A39="","",MIN(7,MAX(1,ROUNDUP(B39/7,0))))</f>
        <v/>
      </c>
      <c r="D39" s="53" t="str">
        <f aca="false">IF(A39="","",INDEX('Tabla Tecnica Base'!$B$4:$B$10,MATCH(C39,'Tabla Tecnica Base'!$A$4:$A$10,0)))</f>
        <v/>
      </c>
      <c r="E39" s="57"/>
      <c r="F39" s="57"/>
      <c r="G39" s="38" t="str">
        <f aca="false">IF(E39="","",E39-IF(F39="",0,F39))</f>
        <v/>
      </c>
      <c r="H39" s="38" t="str">
        <f aca="false">IF(A39="","",INDEX('Tabla Tecnica Base'!$E$4:$E$10,MATCH(C39,'Tabla Tecnica Base'!$A$4:$A$10,0))/1000*CantidadPollos)</f>
        <v/>
      </c>
      <c r="I39" s="38" t="str">
        <f aca="false">IF(OR(G39="",H39=""),"",G39-H39)</f>
        <v/>
      </c>
      <c r="J39" s="55" t="str">
        <f aca="false">IF(OR(I39="",H39="",H39=0),"",I39/H39)</f>
        <v/>
      </c>
    </row>
    <row r="40" customFormat="false" ht="15" hidden="false" customHeight="false" outlineLevel="0" collapsed="false">
      <c r="A40" s="56"/>
      <c r="B40" s="41" t="str">
        <f aca="false">IF(A40="","",A40-FechaInicioLote+1)</f>
        <v/>
      </c>
      <c r="C40" s="41" t="str">
        <f aca="false">IF(A40="","",MIN(7,MAX(1,ROUNDUP(B40/7,0))))</f>
        <v/>
      </c>
      <c r="D40" s="53" t="str">
        <f aca="false">IF(A40="","",INDEX('Tabla Tecnica Base'!$B$4:$B$10,MATCH(C40,'Tabla Tecnica Base'!$A$4:$A$10,0)))</f>
        <v/>
      </c>
      <c r="E40" s="57"/>
      <c r="F40" s="57"/>
      <c r="G40" s="38" t="str">
        <f aca="false">IF(E40="","",E40-IF(F40="",0,F40))</f>
        <v/>
      </c>
      <c r="H40" s="38" t="str">
        <f aca="false">IF(A40="","",INDEX('Tabla Tecnica Base'!$E$4:$E$10,MATCH(C40,'Tabla Tecnica Base'!$A$4:$A$10,0))/1000*CantidadPollos)</f>
        <v/>
      </c>
      <c r="I40" s="38" t="str">
        <f aca="false">IF(OR(G40="",H40=""),"",G40-H40)</f>
        <v/>
      </c>
      <c r="J40" s="55" t="str">
        <f aca="false">IF(OR(I40="",H40="",H40=0),"",I40/H40)</f>
        <v/>
      </c>
    </row>
    <row r="41" customFormat="false" ht="15" hidden="false" customHeight="false" outlineLevel="0" collapsed="false">
      <c r="A41" s="56"/>
      <c r="B41" s="41" t="str">
        <f aca="false">IF(A41="","",A41-FechaInicioLote+1)</f>
        <v/>
      </c>
      <c r="C41" s="41" t="str">
        <f aca="false">IF(A41="","",MIN(7,MAX(1,ROUNDUP(B41/7,0))))</f>
        <v/>
      </c>
      <c r="D41" s="53" t="str">
        <f aca="false">IF(A41="","",INDEX('Tabla Tecnica Base'!$B$4:$B$10,MATCH(C41,'Tabla Tecnica Base'!$A$4:$A$10,0)))</f>
        <v/>
      </c>
      <c r="E41" s="57"/>
      <c r="F41" s="57"/>
      <c r="G41" s="38" t="str">
        <f aca="false">IF(E41="","",E41-IF(F41="",0,F41))</f>
        <v/>
      </c>
      <c r="H41" s="38" t="str">
        <f aca="false">IF(A41="","",INDEX('Tabla Tecnica Base'!$E$4:$E$10,MATCH(C41,'Tabla Tecnica Base'!$A$4:$A$10,0))/1000*CantidadPollos)</f>
        <v/>
      </c>
      <c r="I41" s="38" t="str">
        <f aca="false">IF(OR(G41="",H41=""),"",G41-H41)</f>
        <v/>
      </c>
      <c r="J41" s="55" t="str">
        <f aca="false">IF(OR(I41="",H41="",H41=0),"",I41/H41)</f>
        <v/>
      </c>
    </row>
    <row r="42" customFormat="false" ht="15" hidden="false" customHeight="false" outlineLevel="0" collapsed="false">
      <c r="A42" s="56"/>
      <c r="B42" s="41" t="str">
        <f aca="false">IF(A42="","",A42-FechaInicioLote+1)</f>
        <v/>
      </c>
      <c r="C42" s="41" t="str">
        <f aca="false">IF(A42="","",MIN(7,MAX(1,ROUNDUP(B42/7,0))))</f>
        <v/>
      </c>
      <c r="D42" s="53" t="str">
        <f aca="false">IF(A42="","",INDEX('Tabla Tecnica Base'!$B$4:$B$10,MATCH(C42,'Tabla Tecnica Base'!$A$4:$A$10,0)))</f>
        <v/>
      </c>
      <c r="E42" s="57"/>
      <c r="F42" s="57"/>
      <c r="G42" s="38" t="str">
        <f aca="false">IF(E42="","",E42-IF(F42="",0,F42))</f>
        <v/>
      </c>
      <c r="H42" s="38" t="str">
        <f aca="false">IF(A42="","",INDEX('Tabla Tecnica Base'!$E$4:$E$10,MATCH(C42,'Tabla Tecnica Base'!$A$4:$A$10,0))/1000*CantidadPollos)</f>
        <v/>
      </c>
      <c r="I42" s="38" t="str">
        <f aca="false">IF(OR(G42="",H42=""),"",G42-H42)</f>
        <v/>
      </c>
      <c r="J42" s="55" t="str">
        <f aca="false">IF(OR(I42="",H42="",H42=0),"",I42/H42)</f>
        <v/>
      </c>
    </row>
    <row r="43" customFormat="false" ht="15" hidden="false" customHeight="false" outlineLevel="0" collapsed="false">
      <c r="A43" s="56"/>
      <c r="B43" s="41" t="str">
        <f aca="false">IF(A43="","",A43-FechaInicioLote+1)</f>
        <v/>
      </c>
      <c r="C43" s="41" t="str">
        <f aca="false">IF(A43="","",MIN(7,MAX(1,ROUNDUP(B43/7,0))))</f>
        <v/>
      </c>
      <c r="D43" s="53" t="str">
        <f aca="false">IF(A43="","",INDEX('Tabla Tecnica Base'!$B$4:$B$10,MATCH(C43,'Tabla Tecnica Base'!$A$4:$A$10,0)))</f>
        <v/>
      </c>
      <c r="E43" s="57"/>
      <c r="F43" s="57"/>
      <c r="G43" s="38" t="str">
        <f aca="false">IF(E43="","",E43-IF(F43="",0,F43))</f>
        <v/>
      </c>
      <c r="H43" s="38" t="str">
        <f aca="false">IF(A43="","",INDEX('Tabla Tecnica Base'!$E$4:$E$10,MATCH(C43,'Tabla Tecnica Base'!$A$4:$A$10,0))/1000*CantidadPollos)</f>
        <v/>
      </c>
      <c r="I43" s="38" t="str">
        <f aca="false">IF(OR(G43="",H43=""),"",G43-H43)</f>
        <v/>
      </c>
      <c r="J43" s="55" t="str">
        <f aca="false">IF(OR(I43="",H43="",H43=0),"",I43/H43)</f>
        <v/>
      </c>
    </row>
    <row r="44" customFormat="false" ht="15" hidden="false" customHeight="false" outlineLevel="0" collapsed="false">
      <c r="A44" s="56"/>
      <c r="B44" s="41" t="str">
        <f aca="false">IF(A44="","",A44-FechaInicioLote+1)</f>
        <v/>
      </c>
      <c r="C44" s="41" t="str">
        <f aca="false">IF(A44="","",MIN(7,MAX(1,ROUNDUP(B44/7,0))))</f>
        <v/>
      </c>
      <c r="D44" s="53" t="str">
        <f aca="false">IF(A44="","",INDEX('Tabla Tecnica Base'!$B$4:$B$10,MATCH(C44,'Tabla Tecnica Base'!$A$4:$A$10,0)))</f>
        <v/>
      </c>
      <c r="E44" s="57"/>
      <c r="F44" s="57"/>
      <c r="G44" s="38" t="str">
        <f aca="false">IF(E44="","",E44-IF(F44="",0,F44))</f>
        <v/>
      </c>
      <c r="H44" s="38" t="str">
        <f aca="false">IF(A44="","",INDEX('Tabla Tecnica Base'!$E$4:$E$10,MATCH(C44,'Tabla Tecnica Base'!$A$4:$A$10,0))/1000*CantidadPollos)</f>
        <v/>
      </c>
      <c r="I44" s="38" t="str">
        <f aca="false">IF(OR(G44="",H44=""),"",G44-H44)</f>
        <v/>
      </c>
      <c r="J44" s="55" t="str">
        <f aca="false">IF(OR(I44="",H44="",H44=0),"",I44/H44)</f>
        <v/>
      </c>
    </row>
    <row r="45" customFormat="false" ht="15" hidden="false" customHeight="false" outlineLevel="0" collapsed="false">
      <c r="A45" s="56"/>
      <c r="B45" s="41" t="str">
        <f aca="false">IF(A45="","",A45-FechaInicioLote+1)</f>
        <v/>
      </c>
      <c r="C45" s="41" t="str">
        <f aca="false">IF(A45="","",MIN(7,MAX(1,ROUNDUP(B45/7,0))))</f>
        <v/>
      </c>
      <c r="D45" s="53" t="str">
        <f aca="false">IF(A45="","",INDEX('Tabla Tecnica Base'!$B$4:$B$10,MATCH(C45,'Tabla Tecnica Base'!$A$4:$A$10,0)))</f>
        <v/>
      </c>
      <c r="E45" s="57"/>
      <c r="F45" s="57"/>
      <c r="G45" s="38" t="str">
        <f aca="false">IF(E45="","",E45-IF(F45="",0,F45))</f>
        <v/>
      </c>
      <c r="H45" s="38" t="str">
        <f aca="false">IF(A45="","",INDEX('Tabla Tecnica Base'!$E$4:$E$10,MATCH(C45,'Tabla Tecnica Base'!$A$4:$A$10,0))/1000*CantidadPollos)</f>
        <v/>
      </c>
      <c r="I45" s="38" t="str">
        <f aca="false">IF(OR(G45="",H45=""),"",G45-H45)</f>
        <v/>
      </c>
      <c r="J45" s="55" t="str">
        <f aca="false">IF(OR(I45="",H45="",H45=0),"",I45/H45)</f>
        <v/>
      </c>
    </row>
    <row r="46" customFormat="false" ht="15" hidden="false" customHeight="false" outlineLevel="0" collapsed="false">
      <c r="A46" s="56"/>
      <c r="B46" s="41" t="str">
        <f aca="false">IF(A46="","",A46-FechaInicioLote+1)</f>
        <v/>
      </c>
      <c r="C46" s="41" t="str">
        <f aca="false">IF(A46="","",MIN(7,MAX(1,ROUNDUP(B46/7,0))))</f>
        <v/>
      </c>
      <c r="D46" s="53" t="str">
        <f aca="false">IF(A46="","",INDEX('Tabla Tecnica Base'!$B$4:$B$10,MATCH(C46,'Tabla Tecnica Base'!$A$4:$A$10,0)))</f>
        <v/>
      </c>
      <c r="E46" s="57"/>
      <c r="F46" s="57"/>
      <c r="G46" s="38" t="str">
        <f aca="false">IF(E46="","",E46-IF(F46="",0,F46))</f>
        <v/>
      </c>
      <c r="H46" s="38" t="str">
        <f aca="false">IF(A46="","",INDEX('Tabla Tecnica Base'!$E$4:$E$10,MATCH(C46,'Tabla Tecnica Base'!$A$4:$A$10,0))/1000*CantidadPollos)</f>
        <v/>
      </c>
      <c r="I46" s="38" t="str">
        <f aca="false">IF(OR(G46="",H46=""),"",G46-H46)</f>
        <v/>
      </c>
      <c r="J46" s="55" t="str">
        <f aca="false">IF(OR(I46="",H46="",H46=0),"",I46/H46)</f>
        <v/>
      </c>
    </row>
    <row r="47" customFormat="false" ht="15" hidden="false" customHeight="false" outlineLevel="0" collapsed="false">
      <c r="A47" s="56"/>
      <c r="B47" s="41" t="str">
        <f aca="false">IF(A47="","",A47-FechaInicioLote+1)</f>
        <v/>
      </c>
      <c r="C47" s="41" t="str">
        <f aca="false">IF(A47="","",MIN(7,MAX(1,ROUNDUP(B47/7,0))))</f>
        <v/>
      </c>
      <c r="D47" s="53" t="str">
        <f aca="false">IF(A47="","",INDEX('Tabla Tecnica Base'!$B$4:$B$10,MATCH(C47,'Tabla Tecnica Base'!$A$4:$A$10,0)))</f>
        <v/>
      </c>
      <c r="E47" s="57"/>
      <c r="F47" s="57"/>
      <c r="G47" s="38" t="str">
        <f aca="false">IF(E47="","",E47-IF(F47="",0,F47))</f>
        <v/>
      </c>
      <c r="H47" s="38" t="str">
        <f aca="false">IF(A47="","",INDEX('Tabla Tecnica Base'!$E$4:$E$10,MATCH(C47,'Tabla Tecnica Base'!$A$4:$A$10,0))/1000*CantidadPollos)</f>
        <v/>
      </c>
      <c r="I47" s="38" t="str">
        <f aca="false">IF(OR(G47="",H47=""),"",G47-H47)</f>
        <v/>
      </c>
      <c r="J47" s="55" t="str">
        <f aca="false">IF(OR(I47="",H47="",H47=0),"",I47/H47)</f>
        <v/>
      </c>
    </row>
    <row r="48" customFormat="false" ht="15" hidden="false" customHeight="false" outlineLevel="0" collapsed="false">
      <c r="A48" s="56"/>
      <c r="B48" s="41" t="str">
        <f aca="false">IF(A48="","",A48-FechaInicioLote+1)</f>
        <v/>
      </c>
      <c r="C48" s="41" t="str">
        <f aca="false">IF(A48="","",MIN(7,MAX(1,ROUNDUP(B48/7,0))))</f>
        <v/>
      </c>
      <c r="D48" s="53" t="str">
        <f aca="false">IF(A48="","",INDEX('Tabla Tecnica Base'!$B$4:$B$10,MATCH(C48,'Tabla Tecnica Base'!$A$4:$A$10,0)))</f>
        <v/>
      </c>
      <c r="E48" s="57"/>
      <c r="F48" s="57"/>
      <c r="G48" s="38" t="str">
        <f aca="false">IF(E48="","",E48-IF(F48="",0,F48))</f>
        <v/>
      </c>
      <c r="H48" s="38" t="str">
        <f aca="false">IF(A48="","",INDEX('Tabla Tecnica Base'!$E$4:$E$10,MATCH(C48,'Tabla Tecnica Base'!$A$4:$A$10,0))/1000*CantidadPollos)</f>
        <v/>
      </c>
      <c r="I48" s="38" t="str">
        <f aca="false">IF(OR(G48="",H48=""),"",G48-H48)</f>
        <v/>
      </c>
      <c r="J48" s="55" t="str">
        <f aca="false">IF(OR(I48="",H48="",H48=0),"",I48/H48)</f>
        <v/>
      </c>
    </row>
    <row r="49" customFormat="false" ht="15" hidden="false" customHeight="false" outlineLevel="0" collapsed="false">
      <c r="A49" s="56"/>
      <c r="B49" s="41" t="str">
        <f aca="false">IF(A49="","",A49-FechaInicioLote+1)</f>
        <v/>
      </c>
      <c r="C49" s="41" t="str">
        <f aca="false">IF(A49="","",MIN(7,MAX(1,ROUNDUP(B49/7,0))))</f>
        <v/>
      </c>
      <c r="D49" s="53" t="str">
        <f aca="false">IF(A49="","",INDEX('Tabla Tecnica Base'!$B$4:$B$10,MATCH(C49,'Tabla Tecnica Base'!$A$4:$A$10,0)))</f>
        <v/>
      </c>
      <c r="E49" s="57"/>
      <c r="F49" s="57"/>
      <c r="G49" s="38" t="str">
        <f aca="false">IF(E49="","",E49-IF(F49="",0,F49))</f>
        <v/>
      </c>
      <c r="H49" s="38" t="str">
        <f aca="false">IF(A49="","",INDEX('Tabla Tecnica Base'!$E$4:$E$10,MATCH(C49,'Tabla Tecnica Base'!$A$4:$A$10,0))/1000*CantidadPollos)</f>
        <v/>
      </c>
      <c r="I49" s="38" t="str">
        <f aca="false">IF(OR(G49="",H49=""),"",G49-H49)</f>
        <v/>
      </c>
      <c r="J49" s="55" t="str">
        <f aca="false">IF(OR(I49="",H49="",H49=0),"",I49/H49)</f>
        <v/>
      </c>
    </row>
    <row r="50" customFormat="false" ht="15" hidden="false" customHeight="false" outlineLevel="0" collapsed="false">
      <c r="A50" s="56"/>
      <c r="B50" s="41" t="str">
        <f aca="false">IF(A50="","",A50-FechaInicioLote+1)</f>
        <v/>
      </c>
      <c r="C50" s="41" t="str">
        <f aca="false">IF(A50="","",MIN(7,MAX(1,ROUNDUP(B50/7,0))))</f>
        <v/>
      </c>
      <c r="D50" s="53" t="str">
        <f aca="false">IF(A50="","",INDEX('Tabla Tecnica Base'!$B$4:$B$10,MATCH(C50,'Tabla Tecnica Base'!$A$4:$A$10,0)))</f>
        <v/>
      </c>
      <c r="E50" s="57"/>
      <c r="F50" s="57"/>
      <c r="G50" s="38" t="str">
        <f aca="false">IF(E50="","",E50-IF(F50="",0,F50))</f>
        <v/>
      </c>
      <c r="H50" s="38" t="str">
        <f aca="false">IF(A50="","",INDEX('Tabla Tecnica Base'!$E$4:$E$10,MATCH(C50,'Tabla Tecnica Base'!$A$4:$A$10,0))/1000*CantidadPollos)</f>
        <v/>
      </c>
      <c r="I50" s="38" t="str">
        <f aca="false">IF(OR(G50="",H50=""),"",G50-H50)</f>
        <v/>
      </c>
      <c r="J50" s="55" t="str">
        <f aca="false">IF(OR(I50="",H50="",H50=0),"",I50/H50)</f>
        <v/>
      </c>
    </row>
    <row r="51" customFormat="false" ht="15" hidden="false" customHeight="false" outlineLevel="0" collapsed="false">
      <c r="A51" s="56"/>
      <c r="B51" s="41" t="str">
        <f aca="false">IF(A51="","",A51-FechaInicioLote+1)</f>
        <v/>
      </c>
      <c r="C51" s="41" t="str">
        <f aca="false">IF(A51="","",MIN(7,MAX(1,ROUNDUP(B51/7,0))))</f>
        <v/>
      </c>
      <c r="D51" s="53" t="str">
        <f aca="false">IF(A51="","",INDEX('Tabla Tecnica Base'!$B$4:$B$10,MATCH(C51,'Tabla Tecnica Base'!$A$4:$A$10,0)))</f>
        <v/>
      </c>
      <c r="E51" s="57"/>
      <c r="F51" s="57"/>
      <c r="G51" s="38" t="str">
        <f aca="false">IF(E51="","",E51-IF(F51="",0,F51))</f>
        <v/>
      </c>
      <c r="H51" s="38" t="str">
        <f aca="false">IF(A51="","",INDEX('Tabla Tecnica Base'!$E$4:$E$10,MATCH(C51,'Tabla Tecnica Base'!$A$4:$A$10,0))/1000*CantidadPollos)</f>
        <v/>
      </c>
      <c r="I51" s="38" t="str">
        <f aca="false">IF(OR(G51="",H51=""),"",G51-H51)</f>
        <v/>
      </c>
      <c r="J51" s="55" t="str">
        <f aca="false">IF(OR(I51="",H51="",H51=0),"",I51/H51)</f>
        <v/>
      </c>
    </row>
    <row r="52" customFormat="false" ht="15" hidden="false" customHeight="false" outlineLevel="0" collapsed="false">
      <c r="A52" s="56"/>
      <c r="B52" s="41" t="str">
        <f aca="false">IF(A52="","",A52-FechaInicioLote+1)</f>
        <v/>
      </c>
      <c r="C52" s="41" t="str">
        <f aca="false">IF(A52="","",MIN(7,MAX(1,ROUNDUP(B52/7,0))))</f>
        <v/>
      </c>
      <c r="D52" s="53" t="str">
        <f aca="false">IF(A52="","",INDEX('Tabla Tecnica Base'!$B$4:$B$10,MATCH(C52,'Tabla Tecnica Base'!$A$4:$A$10,0)))</f>
        <v/>
      </c>
      <c r="E52" s="57"/>
      <c r="F52" s="57"/>
      <c r="G52" s="38" t="str">
        <f aca="false">IF(E52="","",E52-IF(F52="",0,F52))</f>
        <v/>
      </c>
      <c r="H52" s="38" t="str">
        <f aca="false">IF(A52="","",INDEX('Tabla Tecnica Base'!$E$4:$E$10,MATCH(C52,'Tabla Tecnica Base'!$A$4:$A$10,0))/1000*CantidadPollos)</f>
        <v/>
      </c>
      <c r="I52" s="38" t="str">
        <f aca="false">IF(OR(G52="",H52=""),"",G52-H52)</f>
        <v/>
      </c>
      <c r="J52" s="55" t="str">
        <f aca="false">IF(OR(I52="",H52="",H52=0),"",I52/H52)</f>
        <v/>
      </c>
    </row>
    <row r="53" customFormat="false" ht="15" hidden="false" customHeight="false" outlineLevel="0" collapsed="false">
      <c r="A53" s="56"/>
      <c r="B53" s="41" t="str">
        <f aca="false">IF(A53="","",A53-FechaInicioLote+1)</f>
        <v/>
      </c>
      <c r="C53" s="41" t="str">
        <f aca="false">IF(A53="","",MIN(7,MAX(1,ROUNDUP(B53/7,0))))</f>
        <v/>
      </c>
      <c r="D53" s="53" t="str">
        <f aca="false">IF(A53="","",INDEX('Tabla Tecnica Base'!$B$4:$B$10,MATCH(C53,'Tabla Tecnica Base'!$A$4:$A$10,0)))</f>
        <v/>
      </c>
      <c r="E53" s="57"/>
      <c r="F53" s="57"/>
      <c r="G53" s="38" t="str">
        <f aca="false">IF(E53="","",E53-IF(F53="",0,F53))</f>
        <v/>
      </c>
      <c r="H53" s="38" t="str">
        <f aca="false">IF(A53="","",INDEX('Tabla Tecnica Base'!$E$4:$E$10,MATCH(C53,'Tabla Tecnica Base'!$A$4:$A$10,0))/1000*CantidadPollos)</f>
        <v/>
      </c>
      <c r="I53" s="38" t="str">
        <f aca="false">IF(OR(G53="",H53=""),"",G53-H53)</f>
        <v/>
      </c>
      <c r="J53" s="55" t="str">
        <f aca="false">IF(OR(I53="",H53="",H53=0),"",I53/H53)</f>
        <v/>
      </c>
    </row>
    <row r="54" customFormat="false" ht="15" hidden="false" customHeight="false" outlineLevel="0" collapsed="false">
      <c r="A54" s="56"/>
      <c r="B54" s="41" t="str">
        <f aca="false">IF(A54="","",A54-FechaInicioLote+1)</f>
        <v/>
      </c>
      <c r="C54" s="41" t="str">
        <f aca="false">IF(A54="","",MIN(7,MAX(1,ROUNDUP(B54/7,0))))</f>
        <v/>
      </c>
      <c r="D54" s="53" t="str">
        <f aca="false">IF(A54="","",INDEX('Tabla Tecnica Base'!$B$4:$B$10,MATCH(C54,'Tabla Tecnica Base'!$A$4:$A$10,0)))</f>
        <v/>
      </c>
      <c r="E54" s="57"/>
      <c r="F54" s="57"/>
      <c r="G54" s="38" t="str">
        <f aca="false">IF(E54="","",E54-IF(F54="",0,F54))</f>
        <v/>
      </c>
      <c r="H54" s="38" t="str">
        <f aca="false">IF(A54="","",INDEX('Tabla Tecnica Base'!$E$4:$E$10,MATCH(C54,'Tabla Tecnica Base'!$A$4:$A$10,0))/1000*CantidadPollos)</f>
        <v/>
      </c>
      <c r="I54" s="38" t="str">
        <f aca="false">IF(OR(G54="",H54=""),"",G54-H54)</f>
        <v/>
      </c>
      <c r="J54" s="55" t="str">
        <f aca="false">IF(OR(I54="",H54="",H54=0),"",I54/H54)</f>
        <v/>
      </c>
    </row>
    <row r="55" customFormat="false" ht="15" hidden="false" customHeight="false" outlineLevel="0" collapsed="false">
      <c r="A55" s="56"/>
      <c r="B55" s="41" t="str">
        <f aca="false">IF(A55="","",A55-FechaInicioLote+1)</f>
        <v/>
      </c>
      <c r="C55" s="41" t="str">
        <f aca="false">IF(A55="","",MIN(7,MAX(1,ROUNDUP(B55/7,0))))</f>
        <v/>
      </c>
      <c r="D55" s="53" t="str">
        <f aca="false">IF(A55="","",INDEX('Tabla Tecnica Base'!$B$4:$B$10,MATCH(C55,'Tabla Tecnica Base'!$A$4:$A$10,0)))</f>
        <v/>
      </c>
      <c r="E55" s="57"/>
      <c r="F55" s="57"/>
      <c r="G55" s="38" t="str">
        <f aca="false">IF(E55="","",E55-IF(F55="",0,F55))</f>
        <v/>
      </c>
      <c r="H55" s="38" t="str">
        <f aca="false">IF(A55="","",INDEX('Tabla Tecnica Base'!$E$4:$E$10,MATCH(C55,'Tabla Tecnica Base'!$A$4:$A$10,0))/1000*CantidadPollos)</f>
        <v/>
      </c>
      <c r="I55" s="38" t="str">
        <f aca="false">IF(OR(G55="",H55=""),"",G55-H55)</f>
        <v/>
      </c>
      <c r="J55" s="55" t="str">
        <f aca="false">IF(OR(I55="",H55="",H55=0),"",I55/H55)</f>
        <v/>
      </c>
    </row>
    <row r="56" customFormat="false" ht="15" hidden="false" customHeight="false" outlineLevel="0" collapsed="false">
      <c r="A56" s="56"/>
      <c r="B56" s="41" t="str">
        <f aca="false">IF(A56="","",A56-FechaInicioLote+1)</f>
        <v/>
      </c>
      <c r="C56" s="41" t="str">
        <f aca="false">IF(A56="","",MIN(7,MAX(1,ROUNDUP(B56/7,0))))</f>
        <v/>
      </c>
      <c r="D56" s="53" t="str">
        <f aca="false">IF(A56="","",INDEX('Tabla Tecnica Base'!$B$4:$B$10,MATCH(C56,'Tabla Tecnica Base'!$A$4:$A$10,0)))</f>
        <v/>
      </c>
      <c r="E56" s="57"/>
      <c r="F56" s="57"/>
      <c r="G56" s="38" t="str">
        <f aca="false">IF(E56="","",E56-IF(F56="",0,F56))</f>
        <v/>
      </c>
      <c r="H56" s="38" t="str">
        <f aca="false">IF(A56="","",INDEX('Tabla Tecnica Base'!$E$4:$E$10,MATCH(C56,'Tabla Tecnica Base'!$A$4:$A$10,0))/1000*CantidadPollos)</f>
        <v/>
      </c>
      <c r="I56" s="38" t="str">
        <f aca="false">IF(OR(G56="",H56=""),"",G56-H56)</f>
        <v/>
      </c>
      <c r="J56" s="55" t="str">
        <f aca="false">IF(OR(I56="",H56="",H56=0),"",I56/H56)</f>
        <v/>
      </c>
    </row>
    <row r="57" customFormat="false" ht="15" hidden="false" customHeight="false" outlineLevel="0" collapsed="false">
      <c r="A57" s="56"/>
      <c r="B57" s="41" t="str">
        <f aca="false">IF(A57="","",A57-FechaInicioLote+1)</f>
        <v/>
      </c>
      <c r="C57" s="41" t="str">
        <f aca="false">IF(A57="","",MIN(7,MAX(1,ROUNDUP(B57/7,0))))</f>
        <v/>
      </c>
      <c r="D57" s="53" t="str">
        <f aca="false">IF(A57="","",INDEX('Tabla Tecnica Base'!$B$4:$B$10,MATCH(C57,'Tabla Tecnica Base'!$A$4:$A$10,0)))</f>
        <v/>
      </c>
      <c r="E57" s="57"/>
      <c r="F57" s="57"/>
      <c r="G57" s="38" t="str">
        <f aca="false">IF(E57="","",E57-IF(F57="",0,F57))</f>
        <v/>
      </c>
      <c r="H57" s="38" t="str">
        <f aca="false">IF(A57="","",INDEX('Tabla Tecnica Base'!$E$4:$E$10,MATCH(C57,'Tabla Tecnica Base'!$A$4:$A$10,0))/1000*CantidadPollos)</f>
        <v/>
      </c>
      <c r="I57" s="38" t="str">
        <f aca="false">IF(OR(G57="",H57=""),"",G57-H57)</f>
        <v/>
      </c>
      <c r="J57" s="55" t="str">
        <f aca="false">IF(OR(I57="",H57="",H57=0),"",I57/H57)</f>
        <v/>
      </c>
    </row>
    <row r="58" customFormat="false" ht="15" hidden="false" customHeight="false" outlineLevel="0" collapsed="false">
      <c r="A58" s="56"/>
      <c r="B58" s="41" t="str">
        <f aca="false">IF(A58="","",A58-FechaInicioLote+1)</f>
        <v/>
      </c>
      <c r="C58" s="41" t="str">
        <f aca="false">IF(A58="","",MIN(7,MAX(1,ROUNDUP(B58/7,0))))</f>
        <v/>
      </c>
      <c r="D58" s="53" t="str">
        <f aca="false">IF(A58="","",INDEX('Tabla Tecnica Base'!$B$4:$B$10,MATCH(C58,'Tabla Tecnica Base'!$A$4:$A$10,0)))</f>
        <v/>
      </c>
      <c r="E58" s="57"/>
      <c r="F58" s="57"/>
      <c r="G58" s="38" t="str">
        <f aca="false">IF(E58="","",E58-IF(F58="",0,F58))</f>
        <v/>
      </c>
      <c r="H58" s="38" t="str">
        <f aca="false">IF(A58="","",INDEX('Tabla Tecnica Base'!$E$4:$E$10,MATCH(C58,'Tabla Tecnica Base'!$A$4:$A$10,0))/1000*CantidadPollos)</f>
        <v/>
      </c>
      <c r="I58" s="38" t="str">
        <f aca="false">IF(OR(G58="",H58=""),"",G58-H58)</f>
        <v/>
      </c>
      <c r="J58" s="55" t="str">
        <f aca="false">IF(OR(I58="",H58="",H58=0),"",I58/H58)</f>
        <v/>
      </c>
    </row>
    <row r="59" customFormat="false" ht="15" hidden="false" customHeight="false" outlineLevel="0" collapsed="false">
      <c r="A59" s="56"/>
      <c r="B59" s="41" t="str">
        <f aca="false">IF(A59="","",A59-FechaInicioLote+1)</f>
        <v/>
      </c>
      <c r="C59" s="41" t="str">
        <f aca="false">IF(A59="","",MIN(7,MAX(1,ROUNDUP(B59/7,0))))</f>
        <v/>
      </c>
      <c r="D59" s="53" t="str">
        <f aca="false">IF(A59="","",INDEX('Tabla Tecnica Base'!$B$4:$B$10,MATCH(C59,'Tabla Tecnica Base'!$A$4:$A$10,0)))</f>
        <v/>
      </c>
      <c r="E59" s="57"/>
      <c r="F59" s="57"/>
      <c r="G59" s="38" t="str">
        <f aca="false">IF(E59="","",E59-IF(F59="",0,F59))</f>
        <v/>
      </c>
      <c r="H59" s="38" t="str">
        <f aca="false">IF(A59="","",INDEX('Tabla Tecnica Base'!$E$4:$E$10,MATCH(C59,'Tabla Tecnica Base'!$A$4:$A$10,0))/1000*CantidadPollos)</f>
        <v/>
      </c>
      <c r="I59" s="38" t="str">
        <f aca="false">IF(OR(G59="",H59=""),"",G59-H59)</f>
        <v/>
      </c>
      <c r="J59" s="55" t="str">
        <f aca="false">IF(OR(I59="",H59="",H59=0),"",I59/H59)</f>
        <v/>
      </c>
    </row>
  </sheetData>
  <mergeCells count="2">
    <mergeCell ref="A1:J1"/>
    <mergeCell ref="A2:J2"/>
  </mergeCells>
  <conditionalFormatting sqref="J5:J59">
    <cfRule type="cellIs" priority="2" operator="lessThan" aboveAverage="0" equalAverage="0" bottom="0" percent="0" rank="0" text="" dxfId="0">
      <formula>-0.15</formula>
    </cfRule>
    <cfRule type="cellIs" priority="3" operator="greaterThan" aboveAverage="0" equalAverage="0" bottom="0" percent="0" rank="0" text="" dxfId="1">
      <formula>0.15</formula>
    </cfRule>
    <cfRule type="cellIs" priority="4" operator="between" aboveAverage="0" equalAverage="0" bottom="0" percent="0" rank="0" text="" dxfId="2">
      <formula>-0.15</formula>
      <formula>0.15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6"/>
    <col collapsed="false" customWidth="true" hidden="false" outlineLevel="0" max="3" min="3" style="0" width="14"/>
    <col collapsed="false" customWidth="true" hidden="false" outlineLevel="0" max="5" min="4" style="0" width="20"/>
    <col collapsed="false" customWidth="true" hidden="false" outlineLevel="0" max="9" min="6" style="0" width="16"/>
  </cols>
  <sheetData>
    <row r="1" customFormat="false" ht="25.5" hidden="false" customHeight="true" outlineLevel="0" collapsed="false">
      <c r="A1" s="34" t="s">
        <v>74</v>
      </c>
      <c r="B1" s="34"/>
      <c r="C1" s="34"/>
      <c r="D1" s="34"/>
      <c r="E1" s="34"/>
      <c r="F1" s="34"/>
      <c r="G1" s="34"/>
      <c r="H1" s="34"/>
      <c r="I1" s="34"/>
    </row>
    <row r="2" customFormat="false" ht="15" hidden="false" customHeight="false" outlineLevel="0" collapsed="false">
      <c r="A2" s="2" t="s">
        <v>75</v>
      </c>
      <c r="B2" s="2"/>
      <c r="C2" s="2"/>
      <c r="D2" s="2"/>
      <c r="E2" s="2"/>
      <c r="F2" s="2"/>
      <c r="G2" s="2"/>
      <c r="H2" s="2"/>
      <c r="I2" s="2"/>
    </row>
    <row r="3" customFormat="false" ht="33.75" hidden="false" customHeight="true" outlineLevel="0" collapsed="false">
      <c r="A3" s="8" t="s">
        <v>12</v>
      </c>
      <c r="B3" s="8" t="s">
        <v>76</v>
      </c>
      <c r="C3" s="8" t="s">
        <v>13</v>
      </c>
      <c r="D3" s="8" t="s">
        <v>77</v>
      </c>
      <c r="E3" s="8" t="s">
        <v>78</v>
      </c>
      <c r="F3" s="8" t="s">
        <v>79</v>
      </c>
      <c r="G3" s="8" t="s">
        <v>80</v>
      </c>
      <c r="H3" s="8" t="s">
        <v>81</v>
      </c>
      <c r="I3" s="8" t="s">
        <v>82</v>
      </c>
    </row>
    <row r="4" customFormat="false" ht="15" hidden="false" customHeight="false" outlineLevel="0" collapsed="false">
      <c r="A4" s="9" t="s">
        <v>17</v>
      </c>
      <c r="B4" s="10" t="s">
        <v>83</v>
      </c>
      <c r="C4" s="10" t="s">
        <v>18</v>
      </c>
      <c r="D4" s="38" t="n">
        <f aca="false">E4/CantidadPollos</f>
        <v>0.882</v>
      </c>
      <c r="E4" s="39" t="n">
        <f aca="false">SUMIF('Tabla Semanal'!$B$4:$B$10,A4,'Tabla Semanal'!$H$4:$H$10)</f>
        <v>88.2</v>
      </c>
      <c r="F4" s="38" t="n">
        <f aca="false">E4/PesoBulto</f>
        <v>2.205</v>
      </c>
      <c r="G4" s="40" t="n">
        <f aca="false">ROUNDUP(F4,0)</f>
        <v>3</v>
      </c>
      <c r="H4" s="58" t="n">
        <v>0</v>
      </c>
      <c r="I4" s="59" t="n">
        <f aca="false">G4*H4</f>
        <v>0</v>
      </c>
    </row>
    <row r="5" customFormat="false" ht="15" hidden="false" customHeight="false" outlineLevel="0" collapsed="false">
      <c r="A5" s="14" t="s">
        <v>19</v>
      </c>
      <c r="B5" s="15" t="s">
        <v>84</v>
      </c>
      <c r="C5" s="15" t="s">
        <v>20</v>
      </c>
      <c r="D5" s="38" t="n">
        <f aca="false">E5/CantidadPollos</f>
        <v>1.47</v>
      </c>
      <c r="E5" s="39" t="n">
        <f aca="false">SUMIF('Tabla Semanal'!$B$4:$B$10,A5,'Tabla Semanal'!$H$4:$H$10)</f>
        <v>147</v>
      </c>
      <c r="F5" s="38" t="n">
        <f aca="false">E5/PesoBulto</f>
        <v>3.675</v>
      </c>
      <c r="G5" s="40" t="n">
        <f aca="false">ROUNDUP(F5,0)</f>
        <v>4</v>
      </c>
      <c r="H5" s="58" t="n">
        <v>0</v>
      </c>
      <c r="I5" s="59" t="n">
        <f aca="false">G5*H5</f>
        <v>0</v>
      </c>
    </row>
    <row r="6" customFormat="false" ht="15" hidden="false" customHeight="false" outlineLevel="0" collapsed="false">
      <c r="A6" s="19" t="s">
        <v>21</v>
      </c>
      <c r="B6" s="20" t="s">
        <v>85</v>
      </c>
      <c r="C6" s="20" t="s">
        <v>22</v>
      </c>
      <c r="D6" s="38" t="n">
        <f aca="false">E6/CantidadPollos</f>
        <v>2.114</v>
      </c>
      <c r="E6" s="39" t="n">
        <f aca="false">SUMIF('Tabla Semanal'!$B$4:$B$10,A6,'Tabla Semanal'!$H$4:$H$10)</f>
        <v>211.4</v>
      </c>
      <c r="F6" s="38" t="n">
        <f aca="false">E6/PesoBulto</f>
        <v>5.285</v>
      </c>
      <c r="G6" s="40" t="n">
        <f aca="false">ROUNDUP(F6,0)</f>
        <v>6</v>
      </c>
      <c r="H6" s="58" t="n">
        <v>0</v>
      </c>
      <c r="I6" s="59" t="n">
        <f aca="false">G6*H6</f>
        <v>0</v>
      </c>
    </row>
    <row r="7" customFormat="false" ht="15" hidden="false" customHeight="false" outlineLevel="0" collapsed="false">
      <c r="A7" s="24" t="s">
        <v>23</v>
      </c>
      <c r="B7" s="25"/>
      <c r="C7" s="25"/>
      <c r="D7" s="26" t="n">
        <f aca="false">SUM(D4:D6)</f>
        <v>4.466</v>
      </c>
      <c r="E7" s="26" t="n">
        <f aca="false">SUM(E4:E6)</f>
        <v>446.6</v>
      </c>
      <c r="F7" s="49" t="n">
        <f aca="false">SUM(F4:F6)</f>
        <v>11.165</v>
      </c>
      <c r="G7" s="27" t="n">
        <f aca="false">SUM(G4:G6)</f>
        <v>13</v>
      </c>
      <c r="H7" s="60"/>
      <c r="I7" s="61" t="n">
        <f aca="false">SUM(I4:I6)</f>
        <v>0</v>
      </c>
    </row>
    <row r="10" customFormat="false" ht="15" hidden="false" customHeight="true" outlineLevel="0" collapsed="false">
      <c r="A10" s="33" t="s">
        <v>86</v>
      </c>
      <c r="B10" s="33"/>
      <c r="C10" s="33"/>
      <c r="D10" s="33"/>
      <c r="E10" s="33"/>
      <c r="F10" s="33"/>
      <c r="G10" s="33"/>
      <c r="H10" s="33"/>
      <c r="I10" s="33"/>
    </row>
  </sheetData>
  <mergeCells count="3">
    <mergeCell ref="A1:I1"/>
    <mergeCell ref="A2:I2"/>
    <mergeCell ref="A10:I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00"/>
  </cols>
  <sheetData>
    <row r="1" customFormat="false" ht="25.5" hidden="false" customHeight="true" outlineLevel="0" collapsed="false">
      <c r="A1" s="1" t="s">
        <v>87</v>
      </c>
      <c r="B1" s="1"/>
    </row>
    <row r="3" customFormat="false" ht="19.5" hidden="false" customHeight="true" outlineLevel="0" collapsed="false">
      <c r="A3" s="62" t="s">
        <v>88</v>
      </c>
      <c r="B3" s="62"/>
    </row>
    <row r="4" customFormat="false" ht="57.75" hidden="false" customHeight="true" outlineLevel="0" collapsed="false">
      <c r="A4" s="63" t="s">
        <v>89</v>
      </c>
      <c r="B4" s="63"/>
    </row>
    <row r="5" customFormat="false" ht="19.5" hidden="false" customHeight="true" outlineLevel="0" collapsed="false">
      <c r="A5" s="62" t="s">
        <v>90</v>
      </c>
      <c r="B5" s="62"/>
    </row>
    <row r="6" customFormat="false" ht="75.75" hidden="false" customHeight="true" outlineLevel="0" collapsed="false">
      <c r="A6" s="63" t="s">
        <v>91</v>
      </c>
      <c r="B6" s="63"/>
    </row>
    <row r="7" customFormat="false" ht="19.5" hidden="false" customHeight="true" outlineLevel="0" collapsed="false">
      <c r="A7" s="62" t="s">
        <v>92</v>
      </c>
      <c r="B7" s="62"/>
    </row>
    <row r="8" customFormat="false" ht="54" hidden="false" customHeight="true" outlineLevel="0" collapsed="false">
      <c r="A8" s="63" t="s">
        <v>93</v>
      </c>
      <c r="B8" s="63"/>
    </row>
    <row r="9" customFormat="false" ht="19.5" hidden="false" customHeight="true" outlineLevel="0" collapsed="false">
      <c r="A9" s="62" t="s">
        <v>94</v>
      </c>
      <c r="B9" s="62"/>
    </row>
    <row r="10" customFormat="false" ht="109.5" hidden="false" customHeight="true" outlineLevel="0" collapsed="false">
      <c r="A10" s="63" t="s">
        <v>95</v>
      </c>
      <c r="B10" s="63"/>
    </row>
    <row r="11" customFormat="false" ht="19.5" hidden="false" customHeight="true" outlineLevel="0" collapsed="false">
      <c r="A11" s="62" t="s">
        <v>96</v>
      </c>
      <c r="B11" s="62"/>
    </row>
    <row r="12" customFormat="false" ht="61.5" hidden="false" customHeight="true" outlineLevel="0" collapsed="false">
      <c r="A12" s="63" t="s">
        <v>97</v>
      </c>
      <c r="B12" s="63"/>
    </row>
  </sheetData>
  <mergeCells count="11">
    <mergeCell ref="A1:B1"/>
    <mergeCell ref="A3:B3"/>
    <mergeCell ref="A4:B4"/>
    <mergeCell ref="A5:B5"/>
    <mergeCell ref="A6:B6"/>
    <mergeCell ref="A7:B7"/>
    <mergeCell ref="A8:B8"/>
    <mergeCell ref="A9:B9"/>
    <mergeCell ref="A10:B10"/>
    <mergeCell ref="A11:B11"/>
    <mergeCell ref="A12:B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2026-09-20T22:10:21Z</dcterms:created>
  <dc:creator>openpyxl</dc:creator>
  <dc:description/>
  <dc:language>en-US</dc:language>
  <cp:lastModifiedBy/>
  <dcterms:modified xsi:type="dcterms:W3CDTF">2026-09-20T22:10:21Z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